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508D5E95-151A-47EF-BA26-BCFB5994890D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<sst xmlns="http://schemas.openxmlformats.org/spreadsheetml/2006/main" count="166" uniqueCount="122">
  <si>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</si>
  <si>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</si>
  <si>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</si>
  <si>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</si>
  <si>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</si>
  <si>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</si>
  <si>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</si>
  <si>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</si>
  <si>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</si>
  <si>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</si>
  <si>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</si>
  <si>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</si>
  <si>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</si>
  <si>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</si>
  <si>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</si>
  <si>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</si>
  <si>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</si>
  <si>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</si>
  <si>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</si>
  <si>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</si>
  <si>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</si>
  <si>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</si>
  <si>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</si>
  <si>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</si>
  <si>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</si>
  <si>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</si>
  <si>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</si>
  <si>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</si>
  <si>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</si>
  <si>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</si>
  <si>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</si>
  <si>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</si>
  <si>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</si>
  <si>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</si>
  <si>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</si>
  <si>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</si>
  <si>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</si>
  <si>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</si>
  <si>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</si>
  <si>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</si>
  <si>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</si>
  <si>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</si>
  <si>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</si>
  <si>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</si>
  <si>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</si>
  <si>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</si>
  <si>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</si>
  <si>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</si>
  <si>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</si>
  <si>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</si>
  <si>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</si>
  <si>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</si>
  <si>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</si>
  <si>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</si>
  <si>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</si>
  <si>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</si>
  <si>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</si>
  <si>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</si>
  <si>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</si>
  <si>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</si>
  <si>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</si>
  <si>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</si>
  <si>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</si>
  <si>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</si>
  <si>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</si>
  <si>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</si>
  <si>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</si>
  <si>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</si>
  <si>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</si>
  <si>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</si>
  <si>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</si>
  <si>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</si>
  <si>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</si>
  <si>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</si>
  <si>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</si>
  <si>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</si>
  <si>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</si>
  <si>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</si>
  <si>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</si>
  <si>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</si>
  <si>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</si>
  <si>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</si>
  <si>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</si>
  <si>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</si>
  <si>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</si>
  <si>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</si>
  <si>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</si>
  <si>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2(7)</t>
  </si>
  <si>
    <t>3-0-22-5</t>
  </si>
  <si>
    <t>100</t>
  </si>
  <si>
    <t>14(10)</t>
  </si>
  <si>
    <t>4*(1)</t>
  </si>
  <si>
    <t>72(28)</t>
  </si>
  <si>
    <t>2-0-18-2</t>
  </si>
  <si>
    <t>1.3-0-4-3</t>
  </si>
  <si>
    <t>NITHIN</t>
  </si>
  <si>
    <t>2-0-34-3</t>
  </si>
  <si>
    <t>0(1)</t>
  </si>
  <si>
    <t>2(3)</t>
  </si>
  <si>
    <t>3(4)</t>
  </si>
  <si>
    <t>114*(35)</t>
  </si>
  <si>
    <t>3(2)</t>
  </si>
  <si>
    <t>0.4-0-10-2</t>
  </si>
  <si>
    <t>1-0-17-0</t>
  </si>
  <si>
    <t>2-0-20-0</t>
  </si>
  <si>
    <t>1-0-13-1</t>
  </si>
  <si>
    <t>1-0-6-1</t>
  </si>
  <si>
    <t>40(23)</t>
  </si>
  <si>
    <t>10(9)</t>
  </si>
  <si>
    <t>0(2)</t>
  </si>
  <si>
    <t>11(18)</t>
  </si>
  <si>
    <t>1*(1)</t>
  </si>
  <si>
    <t>1(3)</t>
  </si>
  <si>
    <t>3-0-17-5</t>
  </si>
  <si>
    <t>1-0-18-0</t>
  </si>
  <si>
    <t>2-0-34-0</t>
  </si>
  <si>
    <t>2-0-20-1</t>
  </si>
  <si>
    <t>2-0-6-3</t>
  </si>
  <si>
    <t>83*(35)</t>
  </si>
  <si>
    <t>10(7)</t>
  </si>
  <si>
    <t>10*(18)</t>
  </si>
  <si>
    <t>1(4)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</si>
</sst>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  <xf numFmtId="0" fontId="1" fillId="5" borderId="0" xfId="0" applyFont="1" applyFill="1"/>
    <xf numFmtId="0" fontId="4" fillId="5" borderId="0" xfId="0" applyFont="1" applyFill="1"/>
  </cellXfs>
  <cellStyles count="1">
    <cellStyle name="Normal" xfId="0" builtinId="0"/>
  </cellStyles>
  <dxfs count="12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7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2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1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6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5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1">
  <autoFilter ref="B1:M16" xr:uid="{49A3408C-0247-4CD5-A29D-BD24868E3C86}"/>
  <sortState xmlns:xlrd2="http://schemas.microsoft.com/office/spreadsheetml/2017/richdata2" ref="B2:M16">
    <sortCondition descending="1" ref="E1:E16"/>
  </sortState>
  <tableColumns count="12">
    <tableColumn id="1" xr3:uid="{DF3F8A78-E028-47BD-898B-B8B42EAA7982}" name="BOWLER" dataDxfId="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3"/>
    <tableColumn id="6" xr3:uid="{78E694E1-7AAB-426D-8C28-4E28699F7976}" name="RUNS"/>
    <tableColumn id="7" xr3:uid="{D07A61E1-CE03-4A8E-B536-BBBCC597E3A0}" name="ECONOMY" dataDxfId="10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9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8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84" zoomScaleNormal="64" workbookViewId="0">
      <selection activeCell="C30" sqref="C30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89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111</v>
      </c>
      <c r="D2">
        <v>100</v>
      </c>
      <c r="E2" s="4">
        <v>2304</v>
      </c>
      <c r="F2">
        <v>1006</v>
      </c>
      <c r="G2">
        <v>13</v>
      </c>
      <c r="H2">
        <f>ROUND((E2*100)/F2,4)</f>
        <v>229.0258</v>
      </c>
      <c r="I2">
        <f>ROUND(E2/(D2-G2),4)</f>
        <v>26.482800000000001</v>
      </c>
      <c r="J2">
        <f>ROUND(F2/(K2+L2),4)</f>
        <v>2.5150000000000001</v>
      </c>
      <c r="K2">
        <v>236</v>
      </c>
      <c r="L2">
        <v>164</v>
      </c>
      <c r="M2">
        <v>8</v>
      </c>
      <c r="N2">
        <v>2</v>
      </c>
      <c r="O2" s="8" t="s">
        <v>100</v>
      </c>
      <c r="P2" t="s">
        <v>118</v>
      </c>
    </row>
    <row r="3" spans="1:16" ht="15.6" x14ac:dyDescent="0.3">
      <c r="A3" s="9">
        <v>2</v>
      </c>
      <c r="B3" s="5" t="s">
        <v>32</v>
      </c>
      <c r="C3">
        <v>85</v>
      </c>
      <c r="D3">
        <v>75</v>
      </c>
      <c r="E3" s="4">
        <v>1192</v>
      </c>
      <c r="F3">
        <v>702</v>
      </c>
      <c r="G3">
        <v>10</v>
      </c>
      <c r="H3">
        <f>ROUND((E3*100)/F3,4)</f>
        <v>169.8006</v>
      </c>
      <c r="I3">
        <f>ROUND(E3/(D3-G3),4)</f>
        <v>18.3385</v>
      </c>
      <c r="J3">
        <f>ROUND(F3/(K3+L3),4)</f>
        <v>3.5634999999999999</v>
      </c>
      <c r="K3">
        <v>78</v>
      </c>
      <c r="L3">
        <v>119</v>
      </c>
      <c r="M3">
        <v>1</v>
      </c>
      <c r="N3">
        <v>0</v>
      </c>
      <c r="O3" s="8" t="s">
        <v>43</v>
      </c>
      <c r="P3" t="s">
        <v>107</v>
      </c>
    </row>
    <row r="4" spans="1:16" ht="15.6" x14ac:dyDescent="0.3">
      <c r="A4" s="7">
        <v>3</v>
      </c>
      <c r="B4" s="5" t="s">
        <v>11</v>
      </c>
      <c r="C4">
        <v>94</v>
      </c>
      <c r="D4">
        <v>79</v>
      </c>
      <c r="E4" s="4">
        <v>850</v>
      </c>
      <c r="F4">
        <v>544</v>
      </c>
      <c r="G4">
        <v>12</v>
      </c>
      <c r="H4">
        <f>ROUND((E4*100)/F4,4)</f>
        <v>156.25</v>
      </c>
      <c r="I4">
        <f>ROUND(E4/(D4-G4),4)</f>
        <v>12.6866</v>
      </c>
      <c r="J4">
        <f>ROUND(F4/(K4+L4),4)</f>
        <v>4.3520000000000003</v>
      </c>
      <c r="K4">
        <v>57</v>
      </c>
      <c r="L4">
        <v>68</v>
      </c>
      <c r="M4">
        <v>2</v>
      </c>
      <c r="N4">
        <v>0</v>
      </c>
      <c r="O4" s="8" t="s">
        <v>82</v>
      </c>
      <c r="P4" t="s">
        <v>119</v>
      </c>
    </row>
    <row r="5" spans="1:16" ht="15.6" x14ac:dyDescent="0.3">
      <c r="A5" s="9">
        <v>4</v>
      </c>
      <c r="B5" s="5" t="s">
        <v>9</v>
      </c>
      <c r="C5">
        <v>110</v>
      </c>
      <c r="D5">
        <v>91</v>
      </c>
      <c r="E5" s="4">
        <v>706</v>
      </c>
      <c r="F5">
        <v>563</v>
      </c>
      <c r="G5">
        <v>19</v>
      </c>
      <c r="H5">
        <f>ROUND((E5*100)/F5,4)</f>
        <v>125.39960000000001</v>
      </c>
      <c r="I5">
        <f>ROUND(E5/(D5-G5),4)</f>
        <v>9.8056000000000001</v>
      </c>
      <c r="J5">
        <f>ROUND(F5/(K5+L5),4)</f>
        <v>5.2617000000000003</v>
      </c>
      <c r="K5">
        <v>46</v>
      </c>
      <c r="L5">
        <v>61</v>
      </c>
      <c r="M5">
        <v>1</v>
      </c>
      <c r="N5">
        <v>0</v>
      </c>
      <c r="O5" s="8" t="s">
        <v>45</v>
      </c>
      <c r="P5" t="s">
        <v>120</v>
      </c>
    </row>
    <row r="6" spans="1:16" ht="15.6" x14ac:dyDescent="0.3">
      <c r="A6" s="7">
        <v>5</v>
      </c>
      <c r="B6" s="5" t="s">
        <v>14</v>
      </c>
      <c r="C6">
        <v>78</v>
      </c>
      <c r="D6">
        <v>65</v>
      </c>
      <c r="E6" s="4">
        <v>673</v>
      </c>
      <c r="F6">
        <v>472</v>
      </c>
      <c r="G6">
        <v>11</v>
      </c>
      <c r="H6">
        <f>ROUND((E6*100)/F6,4)</f>
        <v>142.5847</v>
      </c>
      <c r="I6">
        <f>ROUND(E6/(D6-G6),4)</f>
        <v>12.462999999999999</v>
      </c>
      <c r="J6">
        <f>ROUND(F6/(K6+L6),4)</f>
        <v>4.6275000000000004</v>
      </c>
      <c r="K6">
        <v>31</v>
      </c>
      <c r="L6">
        <v>71</v>
      </c>
      <c r="M6">
        <v>0</v>
      </c>
      <c r="N6">
        <v>0</v>
      </c>
      <c r="O6" s="8" t="s">
        <v>83</v>
      </c>
      <c r="P6" t="s">
        <v>121</v>
      </c>
    </row>
    <row r="7" spans="1:16" ht="15.6" x14ac:dyDescent="0.3">
      <c r="A7" s="9">
        <v>6</v>
      </c>
      <c r="B7" s="5" t="s">
        <v>10</v>
      </c>
      <c r="C7">
        <v>53</v>
      </c>
      <c r="D7">
        <v>41</v>
      </c>
      <c r="E7" s="4">
        <v>374</v>
      </c>
      <c r="F7">
        <v>236</v>
      </c>
      <c r="G7">
        <v>9</v>
      </c>
      <c r="H7">
        <f>ROUND((E7*100)/F7,4)</f>
        <v>158.47460000000001</v>
      </c>
      <c r="I7">
        <f>ROUND(E7/(D7-G7),4)</f>
        <v>11.6875</v>
      </c>
      <c r="J7">
        <f>ROUND(F7/(K7+L7),4)</f>
        <v>4</v>
      </c>
      <c r="K7">
        <v>27</v>
      </c>
      <c r="L7">
        <v>32</v>
      </c>
      <c r="M7">
        <v>0</v>
      </c>
      <c r="N7">
        <v>0</v>
      </c>
      <c r="O7" s="8" t="s">
        <v>42</v>
      </c>
      <c r="P7" t="s">
        <v>98</v>
      </c>
    </row>
    <row r="8" spans="1:16" ht="15.6" x14ac:dyDescent="0.3">
      <c r="A8" s="7">
        <v>7</v>
      </c>
      <c r="B8" s="5" t="s">
        <v>8</v>
      </c>
      <c r="C8">
        <v>125</v>
      </c>
      <c r="D8">
        <v>63</v>
      </c>
      <c r="E8" s="4">
        <v>367</v>
      </c>
      <c r="F8">
        <v>339</v>
      </c>
      <c r="G8">
        <v>22</v>
      </c>
      <c r="H8">
        <f>ROUND((E8*100)/F8,4)</f>
        <v>108.25960000000001</v>
      </c>
      <c r="I8">
        <f>ROUND(E8/(D8-G8),4)</f>
        <v>8.9512</v>
      </c>
      <c r="J8">
        <f>ROUND(F8/(K8+L8),4)</f>
        <v>7.0625</v>
      </c>
      <c r="K8">
        <v>15</v>
      </c>
      <c r="L8">
        <v>33</v>
      </c>
      <c r="M8">
        <v>0</v>
      </c>
      <c r="N8">
        <v>0</v>
      </c>
      <c r="O8" s="8" t="s">
        <v>50</v>
      </c>
      <c r="P8" t="s">
        <v>108</v>
      </c>
    </row>
    <row r="9" spans="1:16" ht="15.6" x14ac:dyDescent="0.3">
      <c r="A9" s="9">
        <v>8</v>
      </c>
      <c r="B9" s="5" t="s">
        <v>13</v>
      </c>
      <c r="C9">
        <v>62</v>
      </c>
      <c r="D9">
        <v>51</v>
      </c>
      <c r="E9" s="4">
        <v>340</v>
      </c>
      <c r="F9">
        <v>237</v>
      </c>
      <c r="G9">
        <v>5</v>
      </c>
      <c r="H9">
        <f>ROUND((E9*100)/F9,4)</f>
        <v>143.4599</v>
      </c>
      <c r="I9">
        <f>ROUND(E9/(D9-G9),4)</f>
        <v>7.3913000000000002</v>
      </c>
      <c r="J9">
        <f>ROUND(F9/(K9+L9),4)</f>
        <v>4.74</v>
      </c>
      <c r="K9">
        <v>29</v>
      </c>
      <c r="L9">
        <v>21</v>
      </c>
      <c r="M9">
        <v>0</v>
      </c>
      <c r="N9">
        <v>0</v>
      </c>
      <c r="O9" s="8" t="s">
        <v>46</v>
      </c>
      <c r="P9" t="s">
        <v>109</v>
      </c>
    </row>
    <row r="10" spans="1:16" ht="15.6" x14ac:dyDescent="0.3">
      <c r="A10" s="7">
        <v>9</v>
      </c>
      <c r="B10" s="5" t="s">
        <v>16</v>
      </c>
      <c r="C10">
        <v>55</v>
      </c>
      <c r="D10">
        <v>41</v>
      </c>
      <c r="E10" s="4">
        <v>311</v>
      </c>
      <c r="F10">
        <v>213</v>
      </c>
      <c r="G10">
        <v>7</v>
      </c>
      <c r="H10">
        <f>ROUND((E10*100)/F10,4)</f>
        <v>146.0094</v>
      </c>
      <c r="I10">
        <f>ROUND(E10/(D10-G10),4)</f>
        <v>9.1471</v>
      </c>
      <c r="J10">
        <f>ROUND(F10/(K10+L10),4)</f>
        <v>4.6303999999999998</v>
      </c>
      <c r="K10">
        <v>29</v>
      </c>
      <c r="L10">
        <v>17</v>
      </c>
      <c r="M10">
        <v>0</v>
      </c>
      <c r="N10">
        <v>0</v>
      </c>
      <c r="O10" s="8" t="s">
        <v>52</v>
      </c>
      <c r="P10" t="s">
        <v>87</v>
      </c>
    </row>
    <row r="11" spans="1:16" ht="15.6" x14ac:dyDescent="0.3">
      <c r="A11" s="9">
        <v>10</v>
      </c>
      <c r="B11" s="5" t="s">
        <v>41</v>
      </c>
      <c r="C11">
        <v>42</v>
      </c>
      <c r="D11">
        <v>28</v>
      </c>
      <c r="E11" s="4">
        <v>298</v>
      </c>
      <c r="F11">
        <v>207</v>
      </c>
      <c r="G11">
        <v>5</v>
      </c>
      <c r="H11">
        <f>ROUND((E11*100)/F11,4)</f>
        <v>143.9614</v>
      </c>
      <c r="I11">
        <f>ROUND(E11/(D11-G11),4)</f>
        <v>12.9565</v>
      </c>
      <c r="J11">
        <f>ROUND(F11/(K11+L11),4)</f>
        <v>4.7045000000000003</v>
      </c>
      <c r="K11">
        <v>19</v>
      </c>
      <c r="L11">
        <v>25</v>
      </c>
      <c r="M11">
        <v>1</v>
      </c>
      <c r="N11">
        <v>0</v>
      </c>
      <c r="O11" s="8" t="s">
        <v>92</v>
      </c>
      <c r="P11" t="s">
        <v>101</v>
      </c>
    </row>
    <row r="12" spans="1:16" ht="15.6" x14ac:dyDescent="0.3">
      <c r="A12" s="7">
        <v>11</v>
      </c>
      <c r="B12" s="5" t="s">
        <v>15</v>
      </c>
      <c r="C12">
        <v>58</v>
      </c>
      <c r="D12">
        <v>38</v>
      </c>
      <c r="E12" s="4">
        <v>258</v>
      </c>
      <c r="F12">
        <v>252</v>
      </c>
      <c r="G12">
        <v>17</v>
      </c>
      <c r="H12">
        <f>ROUND((E12*100)/F12,4)</f>
        <v>102.381</v>
      </c>
      <c r="I12">
        <f>ROUND(E12/(D12-G12),4)</f>
        <v>12.2857</v>
      </c>
      <c r="J12">
        <f>ROUND(F12/(K12+L12),4)</f>
        <v>7.875</v>
      </c>
      <c r="K12">
        <v>6</v>
      </c>
      <c r="L12">
        <v>26</v>
      </c>
      <c r="M12">
        <v>0</v>
      </c>
      <c r="N12">
        <v>0</v>
      </c>
      <c r="O12" s="8" t="s">
        <v>57</v>
      </c>
      <c r="P12" t="s">
        <v>110</v>
      </c>
    </row>
    <row r="13" spans="1:16" ht="15.6" x14ac:dyDescent="0.3">
      <c r="A13" s="9">
        <v>12</v>
      </c>
      <c r="B13" s="5" t="s">
        <v>95</v>
      </c>
      <c r="C13">
        <v>46</v>
      </c>
      <c r="D13">
        <v>29</v>
      </c>
      <c r="E13" s="4">
        <v>167</v>
      </c>
      <c r="F13">
        <v>125</v>
      </c>
      <c r="G13">
        <v>6</v>
      </c>
      <c r="H13">
        <f>ROUND((E13*100)/F13,4)</f>
        <v>133.6</v>
      </c>
      <c r="I13">
        <f>ROUND(E13/(D13-G13),4)</f>
        <v>7.2609000000000004</v>
      </c>
      <c r="J13">
        <f>ROUND(F13/(K13+L13),4)</f>
        <v>5.9523999999999999</v>
      </c>
      <c r="K13">
        <v>10</v>
      </c>
      <c r="L13">
        <v>11</v>
      </c>
      <c r="M13">
        <v>0</v>
      </c>
      <c r="N13">
        <v>0</v>
      </c>
      <c r="O13" s="8" t="s">
        <v>62</v>
      </c>
      <c r="P13" t="s">
        <v>109</v>
      </c>
    </row>
    <row r="14" spans="1:16" ht="15.6" x14ac:dyDescent="0.3">
      <c r="A14" s="7">
        <v>13</v>
      </c>
      <c r="B14" s="5" t="s">
        <v>19</v>
      </c>
      <c r="C14">
        <v>74</v>
      </c>
      <c r="D14">
        <v>27</v>
      </c>
      <c r="E14" s="4">
        <v>127</v>
      </c>
      <c r="F14">
        <v>121</v>
      </c>
      <c r="G14">
        <v>10</v>
      </c>
      <c r="H14">
        <f>ROUND((E14*100)/F14,4)</f>
        <v>104.95869999999999</v>
      </c>
      <c r="I14">
        <f>ROUND(E14/(D14-G14),4)</f>
        <v>7.4706000000000001</v>
      </c>
      <c r="J14">
        <f>ROUND(F14/(K14+L14),4)</f>
        <v>10.083299999999999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97</v>
      </c>
    </row>
    <row r="15" spans="1:16" ht="15.6" x14ac:dyDescent="0.3">
      <c r="A15" s="9">
        <v>14</v>
      </c>
      <c r="B15" s="5" t="s">
        <v>20</v>
      </c>
      <c r="C15">
        <v>61</v>
      </c>
      <c r="D15">
        <v>26</v>
      </c>
      <c r="E15" s="4">
        <v>117</v>
      </c>
      <c r="F15">
        <v>121</v>
      </c>
      <c r="G15">
        <v>13</v>
      </c>
      <c r="H15">
        <f>ROUND((E15*100)/F15,4)</f>
        <v>96.694199999999995</v>
      </c>
      <c r="I15">
        <f>ROUND(E15/(D15-G15),4)</f>
        <v>9</v>
      </c>
      <c r="J15">
        <f>ROUND(F15/(K15+L15),4)</f>
        <v>8.0667000000000009</v>
      </c>
      <c r="K15">
        <v>1</v>
      </c>
      <c r="L15">
        <v>14</v>
      </c>
      <c r="M15">
        <v>0</v>
      </c>
      <c r="N15">
        <v>0</v>
      </c>
      <c r="O15" s="8" t="s">
        <v>63</v>
      </c>
      <c r="P15" t="s">
        <v>111</v>
      </c>
    </row>
    <row r="16" spans="1:16" ht="15.6" x14ac:dyDescent="0.3">
      <c r="A16" s="7">
        <v>15</v>
      </c>
      <c r="B16" s="5" t="s">
        <v>18</v>
      </c>
      <c r="C16">
        <v>44</v>
      </c>
      <c r="D16">
        <v>21</v>
      </c>
      <c r="E16" s="4">
        <v>80</v>
      </c>
      <c r="F16">
        <v>82</v>
      </c>
      <c r="G16">
        <v>6</v>
      </c>
      <c r="H16">
        <f>ROUND((E16*100)/F16,4)</f>
        <v>97.561000000000007</v>
      </c>
      <c r="I16">
        <f>ROUND(E16/(D16-G16),4)</f>
        <v>5.3333000000000004</v>
      </c>
      <c r="J16">
        <f>ROUND(F16/(K16+L16),4)</f>
        <v>7.4545000000000003</v>
      </c>
      <c r="K16">
        <v>2</v>
      </c>
      <c r="L16">
        <v>9</v>
      </c>
      <c r="M16">
        <v>0</v>
      </c>
      <c r="N16">
        <v>0</v>
      </c>
      <c r="O16" s="8" t="s">
        <v>90</v>
      </c>
      <c r="P16" t="s">
        <v>112</v>
      </c>
    </row>
    <row r="17" spans="1:16" ht="15.6" x14ac:dyDescent="0.3">
      <c r="A17" s="9">
        <v>16</v>
      </c>
      <c r="B17" s="5" t="s">
        <v>17</v>
      </c>
      <c r="C17">
        <v>41</v>
      </c>
      <c r="D17">
        <v>22</v>
      </c>
      <c r="E17" s="4">
        <v>73</v>
      </c>
      <c r="F17">
        <v>86</v>
      </c>
      <c r="G17">
        <v>1</v>
      </c>
      <c r="H17">
        <f>ROUND((E17*100)/F17,4)</f>
        <v>84.883700000000005</v>
      </c>
      <c r="I17">
        <f>ROUND(E17/(D17-G17),4)</f>
        <v>3.4762</v>
      </c>
      <c r="J17">
        <f>ROUND(F17/(K17+L17),4)</f>
        <v>12.2857</v>
      </c>
      <c r="K17">
        <v>0</v>
      </c>
      <c r="L17">
        <v>7</v>
      </c>
      <c r="M17">
        <v>0</v>
      </c>
      <c r="N17">
        <v>0</v>
      </c>
      <c r="O17" s="8" t="s">
        <v>58</v>
      </c>
      <c r="P17" t="s">
        <v>99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ROUND(F18/(K18+L18),4)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18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ROUND(F19/(K19+L19),4)</f>
        <v>15</v>
      </c>
      <c r="K19">
        <v>0</v>
      </c>
      <c r="L19">
        <v>3</v>
      </c>
      <c r="M19">
        <v>0</v>
      </c>
      <c r="N19">
        <v>0</v>
      </c>
      <c r="O19" s="8" t="s">
        <v>55</v>
      </c>
      <c r="P19" t="s">
        <v>91</v>
      </c>
    </row>
    <row r="20" spans="1:16" ht="15.6" x14ac:dyDescent="0.3">
      <c r="A20" s="7">
        <v>19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ROUND(F20/(K20+L20),4)</f>
        <v>44</v>
      </c>
      <c r="K20">
        <v>0</v>
      </c>
      <c r="L20">
        <v>1</v>
      </c>
      <c r="M20">
        <v>0</v>
      </c>
      <c r="N20">
        <v>0</v>
      </c>
      <c r="O20" s="8" t="s">
        <v>56</v>
      </c>
    </row>
    <row r="21" spans="1:16" ht="15.6" x14ac:dyDescent="0.3">
      <c r="A21" s="9">
        <v>20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ROUND(F21/(K21+L21),4)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84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C23" sqref="C23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125</v>
      </c>
      <c r="D2">
        <v>184.2</v>
      </c>
      <c r="E2" s="11">
        <v>128</v>
      </c>
      <c r="F2">
        <v>1830</v>
      </c>
      <c r="G2">
        <f>ROUND(F2*6 / (INT(D2)*6 + MOD(D2,1)*10),4)</f>
        <v>9.9276999999999997</v>
      </c>
      <c r="H2">
        <f>ROUND(F2/E2,4)</f>
        <v>14.296900000000001</v>
      </c>
      <c r="I2">
        <f>ROUND(IF(E2=0,"-", (INT(D2)*6 + MOD(D2,1)*10) / E2),4)</f>
        <v>8.6405999999999992</v>
      </c>
      <c r="J2">
        <v>12</v>
      </c>
      <c r="K2">
        <v>2</v>
      </c>
      <c r="L2" t="s">
        <v>38</v>
      </c>
      <c r="M2" t="s">
        <v>104</v>
      </c>
    </row>
    <row r="3" spans="1:13" ht="15.6" x14ac:dyDescent="0.3">
      <c r="A3">
        <v>2</v>
      </c>
      <c r="B3" s="5" t="s">
        <v>12</v>
      </c>
      <c r="C3">
        <v>111</v>
      </c>
      <c r="D3">
        <v>189.4</v>
      </c>
      <c r="E3" s="4">
        <v>120</v>
      </c>
      <c r="F3">
        <v>1961</v>
      </c>
      <c r="G3">
        <f>ROUND(F3*6 / (INT(D3)*6 + MOD(D3,1)*10),4)</f>
        <v>10.3392</v>
      </c>
      <c r="H3">
        <f>ROUND(F3/E3,4)</f>
        <v>16.341699999999999</v>
      </c>
      <c r="I3">
        <f>ROUND(IF(E3=0,"-", (INT(D3)*6 + MOD(D3,1)*10) / E3),4)</f>
        <v>9.4832999999999998</v>
      </c>
      <c r="J3">
        <v>13</v>
      </c>
      <c r="K3">
        <v>2</v>
      </c>
      <c r="L3" t="s">
        <v>113</v>
      </c>
      <c r="M3" t="s">
        <v>114</v>
      </c>
    </row>
    <row r="4" spans="1:13" ht="15.6" x14ac:dyDescent="0.3">
      <c r="A4" s="7">
        <v>3</v>
      </c>
      <c r="B4" s="5" t="s">
        <v>32</v>
      </c>
      <c r="C4">
        <v>85</v>
      </c>
      <c r="D4">
        <v>136.30000000000001</v>
      </c>
      <c r="E4" s="4">
        <v>95</v>
      </c>
      <c r="F4">
        <v>1403</v>
      </c>
      <c r="G4">
        <f>ROUND(F4*6 / (INT(D4)*6 + MOD(D4,1)*10),4)</f>
        <v>10.2784</v>
      </c>
      <c r="H4">
        <f>ROUND(F4/E4,4)</f>
        <v>14.7684</v>
      </c>
      <c r="I4">
        <f>ROUND(IF(E4=0,"-", (INT(D4)*6 + MOD(D4,1)*10) / E4),4)</f>
        <v>8.6211000000000002</v>
      </c>
      <c r="J4">
        <v>7</v>
      </c>
      <c r="K4">
        <v>0</v>
      </c>
      <c r="L4" t="s">
        <v>59</v>
      </c>
      <c r="M4" t="s">
        <v>105</v>
      </c>
    </row>
    <row r="5" spans="1:13" ht="15.6" x14ac:dyDescent="0.3">
      <c r="A5">
        <v>4</v>
      </c>
      <c r="B5" s="5" t="s">
        <v>9</v>
      </c>
      <c r="C5">
        <v>110</v>
      </c>
      <c r="D5">
        <v>116.4</v>
      </c>
      <c r="E5" s="4">
        <v>82</v>
      </c>
      <c r="F5">
        <v>1252</v>
      </c>
      <c r="G5">
        <f>ROUND(F5*6 / (INT(D5)*6 + MOD(D5,1)*10),4)</f>
        <v>10.731400000000001</v>
      </c>
      <c r="H5">
        <f>ROUND(F5/E5,4)</f>
        <v>15.2683</v>
      </c>
      <c r="I5">
        <f>ROUND(IF(E5=0,"-", (INT(D5)*6 + MOD(D5,1)*10) / E5),4)</f>
        <v>8.5366</v>
      </c>
      <c r="J5">
        <v>8</v>
      </c>
      <c r="K5">
        <v>1</v>
      </c>
      <c r="L5" t="s">
        <v>88</v>
      </c>
      <c r="M5" t="s">
        <v>115</v>
      </c>
    </row>
    <row r="6" spans="1:13" ht="15.6" x14ac:dyDescent="0.3">
      <c r="A6" s="7">
        <v>5</v>
      </c>
      <c r="B6" s="5" t="s">
        <v>14</v>
      </c>
      <c r="C6">
        <v>78</v>
      </c>
      <c r="D6">
        <v>122.5</v>
      </c>
      <c r="E6" s="4">
        <v>77</v>
      </c>
      <c r="F6">
        <v>1303</v>
      </c>
      <c r="G6">
        <f>ROUND(F6*6 / (INT(D6)*6 + MOD(D6,1)*10),4)</f>
        <v>10.607900000000001</v>
      </c>
      <c r="H6">
        <f>ROUND(F6/E6,4)</f>
        <v>16.9221</v>
      </c>
      <c r="I6">
        <f>ROUND(IF(E6=0,"-", (INT(D6)*6 + MOD(D6,1)*10) / E6),4)</f>
        <v>9.5714000000000006</v>
      </c>
      <c r="J6">
        <v>11</v>
      </c>
      <c r="K6">
        <v>0</v>
      </c>
      <c r="L6" t="s">
        <v>54</v>
      </c>
      <c r="M6" t="s">
        <v>116</v>
      </c>
    </row>
    <row r="7" spans="1:13" ht="15.6" x14ac:dyDescent="0.3">
      <c r="A7">
        <v>6</v>
      </c>
      <c r="B7" s="5" t="s">
        <v>20</v>
      </c>
      <c r="C7">
        <v>61</v>
      </c>
      <c r="D7">
        <v>42.4</v>
      </c>
      <c r="E7" s="4">
        <v>35</v>
      </c>
      <c r="F7">
        <v>404</v>
      </c>
      <c r="G7">
        <f>ROUND(F7*6 / (INT(D7)*6 + MOD(D7,1)*10),4)</f>
        <v>9.4687999999999999</v>
      </c>
      <c r="H7">
        <f>ROUND(F7/E7,4)</f>
        <v>11.542899999999999</v>
      </c>
      <c r="I7">
        <f>ROUND(IF(E7=0,"-", (INT(D7)*6 + MOD(D7,1)*10) / E7),4)</f>
        <v>7.3143000000000002</v>
      </c>
      <c r="J7">
        <v>3</v>
      </c>
      <c r="K7">
        <v>0</v>
      </c>
      <c r="L7" t="s">
        <v>39</v>
      </c>
      <c r="M7" t="s">
        <v>102</v>
      </c>
    </row>
    <row r="8" spans="1:13" ht="15.6" x14ac:dyDescent="0.3">
      <c r="A8" s="7">
        <v>7</v>
      </c>
      <c r="B8" s="5" t="s">
        <v>95</v>
      </c>
      <c r="C8">
        <v>46</v>
      </c>
      <c r="D8">
        <v>53</v>
      </c>
      <c r="E8" s="4">
        <v>34</v>
      </c>
      <c r="F8">
        <v>467</v>
      </c>
      <c r="G8">
        <f>ROUND(F8*6 / (INT(D8)*6 + MOD(D8,1)*10),4)</f>
        <v>8.8112999999999992</v>
      </c>
      <c r="H8">
        <f>ROUND(F8/E8,4)</f>
        <v>13.735300000000001</v>
      </c>
      <c r="I8">
        <f>ROUND(IF(E8=0,"-", (INT(D8)*6 + MOD(D8,1)*10) / E8),4)</f>
        <v>9.3529</v>
      </c>
      <c r="J8">
        <v>3</v>
      </c>
      <c r="K8">
        <v>0</v>
      </c>
      <c r="L8" t="s">
        <v>60</v>
      </c>
      <c r="M8" t="s">
        <v>117</v>
      </c>
    </row>
    <row r="9" spans="1:13" ht="15.6" x14ac:dyDescent="0.3">
      <c r="A9">
        <v>8</v>
      </c>
      <c r="B9" s="5" t="s">
        <v>19</v>
      </c>
      <c r="C9">
        <v>74</v>
      </c>
      <c r="D9">
        <v>55.2</v>
      </c>
      <c r="E9" s="4">
        <v>32</v>
      </c>
      <c r="F9">
        <v>510</v>
      </c>
      <c r="G9">
        <f>ROUND(F9*6 / (INT(D9)*6 + MOD(D9,1)*10),4)</f>
        <v>9.2169000000000008</v>
      </c>
      <c r="H9">
        <f>ROUND(F9/E9,4)</f>
        <v>15.9375</v>
      </c>
      <c r="I9">
        <f>ROUND(IF(E9=0,"-", (INT(D9)*6 + MOD(D9,1)*10) / E9),4)</f>
        <v>10.375</v>
      </c>
      <c r="J9">
        <v>2</v>
      </c>
      <c r="K9">
        <v>0</v>
      </c>
      <c r="L9" t="s">
        <v>49</v>
      </c>
      <c r="M9" t="s">
        <v>106</v>
      </c>
    </row>
    <row r="10" spans="1:13" ht="15.6" x14ac:dyDescent="0.3">
      <c r="A10" s="7">
        <v>9</v>
      </c>
      <c r="B10" s="5" t="s">
        <v>17</v>
      </c>
      <c r="C10">
        <v>41</v>
      </c>
      <c r="D10">
        <v>43</v>
      </c>
      <c r="E10" s="4">
        <v>30</v>
      </c>
      <c r="F10">
        <v>412</v>
      </c>
      <c r="G10">
        <f>ROUND(F10*6 / (INT(D10)*6 + MOD(D10,1)*10),4)</f>
        <v>9.5814000000000004</v>
      </c>
      <c r="H10">
        <f>ROUND(F10/E10,4)</f>
        <v>13.7333</v>
      </c>
      <c r="I10">
        <f>ROUND(IF(E10=0,"-", (INT(D10)*6 + MOD(D10,1)*10) / E10),4)</f>
        <v>8.6</v>
      </c>
      <c r="J10">
        <v>3</v>
      </c>
      <c r="K10">
        <v>0</v>
      </c>
      <c r="L10" t="s">
        <v>37</v>
      </c>
      <c r="M10" t="s">
        <v>103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94</v>
      </c>
      <c r="D12">
        <v>6</v>
      </c>
      <c r="E12" s="4">
        <v>7</v>
      </c>
      <c r="F12">
        <v>53</v>
      </c>
      <c r="G12">
        <f>ROUND(F12*6 / (INT(D12)*6 + MOD(D12,1)*10),4)</f>
        <v>8.8332999999999995</v>
      </c>
      <c r="H12">
        <f>ROUND(F12/E12,4)</f>
        <v>7.5713999999999997</v>
      </c>
      <c r="I12">
        <f>ROUND(IF(E12=0,"-", (INT(D12)*6 + MOD(D12,1)*10) / E12),4)</f>
        <v>5.1429</v>
      </c>
      <c r="J12">
        <v>2</v>
      </c>
      <c r="K12">
        <v>0</v>
      </c>
      <c r="L12" t="s">
        <v>94</v>
      </c>
      <c r="M12" t="s">
        <v>96</v>
      </c>
    </row>
    <row r="13" spans="1:13" ht="15.6" x14ac:dyDescent="0.3">
      <c r="A13" s="9">
        <v>12</v>
      </c>
      <c r="B13" s="5" t="s">
        <v>10</v>
      </c>
      <c r="C13">
        <v>53</v>
      </c>
      <c r="D13">
        <v>8</v>
      </c>
      <c r="E13" s="4">
        <v>5</v>
      </c>
      <c r="F13">
        <v>91</v>
      </c>
      <c r="G13">
        <f>ROUND(F13*6 / (INT(D13)*6 + MOD(D13,1)*10),4)</f>
        <v>11.375</v>
      </c>
      <c r="H13">
        <f>ROUND(F13/E13,4)</f>
        <v>18.2</v>
      </c>
      <c r="I13">
        <f>ROUND(IF(E13=0,"-", (INT(D13)*6 + MOD(D13,1)*10) / E13),4)</f>
        <v>9.6</v>
      </c>
      <c r="J13">
        <v>0</v>
      </c>
      <c r="K13">
        <v>0</v>
      </c>
      <c r="L13" s="1" t="s">
        <v>93</v>
      </c>
      <c r="M13" t="s">
        <v>93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>ROUND(F14*6 / (INT(D14)*6 + MOD(D14,1)*10),4)</f>
        <v>14.333299999999999</v>
      </c>
      <c r="H14">
        <f>ROUND(F14/E14,4)</f>
        <v>43</v>
      </c>
      <c r="I14">
        <f>ROUND(IF(E14=0,"-", (INT(D14)*6 + MOD(D14,1)*10) / E14),4)</f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12" t="s">
        <v>13</v>
      </c>
      <c r="C15" s="9">
        <v>62</v>
      </c>
      <c r="D15" s="9">
        <v>3</v>
      </c>
      <c r="E15" s="13">
        <v>0</v>
      </c>
      <c r="F15" s="9">
        <v>40</v>
      </c>
      <c r="G15" s="9">
        <f>ROUND(F15*6 / (INT(D15)*6 + MOD(D15,1)*10),4)</f>
        <v>13.333299999999999</v>
      </c>
      <c r="H15" s="9" t="s">
        <v>61</v>
      </c>
      <c r="I15" s="9" t="s">
        <v>61</v>
      </c>
      <c r="J15" s="9">
        <v>0</v>
      </c>
      <c r="K15" s="9">
        <v>0</v>
      </c>
      <c r="L15" s="9" t="s">
        <v>35</v>
      </c>
      <c r="M15" s="9" t="s">
        <v>103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61</v>
      </c>
      <c r="I16" t="s">
        <v>61</v>
      </c>
      <c r="J16">
        <v>0</v>
      </c>
      <c r="K16">
        <v>0</v>
      </c>
      <c r="L16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2026-10-22T15:56:26Z</dcterms:modified>
</cp:coreProperties>
</file>