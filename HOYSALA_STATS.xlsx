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CEEEA8ED-A759-4BD0-8C0F-D380DE98B7FD}" xr6:coauthVersionLast="47" xr6:coauthVersionMax="47" xr10:uidLastSave="{00000000-0000-0000-0000-000000000000}"/>
  <bookViews>
    <workbookView xWindow="11424" yWindow="0" windowWidth="11712" windowHeight="13056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G16" i="2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D8" i="4" l="1"/>
  <c r="C8" i="4"/>
  <c r="B8" i="4"/>
  <c r="C2" i="4"/>
  <c r="D2" i="4"/>
  <c r="B2" i="4"/>
</calcChain>
</file>

<file path=xl/sharedStrings.xml><?xml version="1.0" encoding="utf-8"?>
<sst xmlns="http://schemas.openxmlformats.org/spreadsheetml/2006/main" count="166" uniqueCount="121">
  <si>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</si>
  <si>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</si>
  <si>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</si>
  <si>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</si>
  <si>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</si>
  <si>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</si>
  <si>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</si>
  <si>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</si>
  <si>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</si>
  <si>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</si>
  <si>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</si>
  <si>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</si>
  <si>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</si>
  <si>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</si>
  <si>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</si>
  <si>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</si>
  <si>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</si>
  <si>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</si>
  <si>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</si>
  <si>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</si>
  <si>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</si>
  <si>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</si>
  <si>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</si>
  <si>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</si>
  <si>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</si>
  <si>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</si>
  <si>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</si>
  <si>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</si>
  <si>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</si>
  <si>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</si>
  <si>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</si>
  <si>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</si>
  <si>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</si>
  <si>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</si>
  <si>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</si>
  <si>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</si>
  <si>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</si>
  <si>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</si>
  <si>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</si>
  <si>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</si>
  <si>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</si>
  <si>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</si>
  <si>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</si>
  <si>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</si>
  <si>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</si>
  <si>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</si>
  <si>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</si>
  <si>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</si>
  <si>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</si>
  <si>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</si>
  <si>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</si>
  <si>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</si>
  <si>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</si>
  <si>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</si>
  <si>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</si>
  <si>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</si>
  <si>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</si>
  <si>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</si>
  <si>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</si>
  <si>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</si>
  <si>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</si>
  <si>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</si>
  <si>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</si>
  <si>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</si>
  <si>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</si>
  <si>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</si>
  <si>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</si>
  <si>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</si>
  <si>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</si>
  <si>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</si>
  <si>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</si>
  <si>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</si>
  <si>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</si>
  <si>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</si>
  <si>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</si>
  <si>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</si>
  <si>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</si>
  <si>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</si>
  <si>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</si>
  <si>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</si>
  <si>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</si>
  <si>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</si>
  <si>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</si>
  <si>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</si>
  <si>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</si>
  <si>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</si>
  <si>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2(7)</t>
  </si>
  <si>
    <t>3-0-22-5</t>
  </si>
  <si>
    <t>100</t>
  </si>
  <si>
    <t>14(10)</t>
  </si>
  <si>
    <t>4*(1)</t>
  </si>
  <si>
    <t>72(28)</t>
  </si>
  <si>
    <t>2-0-18-2</t>
  </si>
  <si>
    <t>1.3-0-4-3</t>
  </si>
  <si>
    <t>NITHIN</t>
  </si>
  <si>
    <t>2-0-34-3</t>
  </si>
  <si>
    <t>0(1)</t>
  </si>
  <si>
    <t>3(4)</t>
  </si>
  <si>
    <t>114*(35)</t>
  </si>
  <si>
    <t>1-0-17-0</t>
  </si>
  <si>
    <t>2-0-20-0</t>
  </si>
  <si>
    <t>1-0-13-1</t>
  </si>
  <si>
    <t>40(23)</t>
  </si>
  <si>
    <t>0(2)</t>
  </si>
  <si>
    <t>1(3)</t>
  </si>
  <si>
    <t>3-0-17-5</t>
  </si>
  <si>
    <t>2-0-6-3</t>
  </si>
  <si>
    <t>5*(3)</t>
  </si>
  <si>
    <t>2-0-10-2</t>
  </si>
  <si>
    <t>3-0-32-4</t>
  </si>
  <si>
    <t>2-0-25-1</t>
  </si>
  <si>
    <t>2-0-30-1</t>
  </si>
  <si>
    <t>1-0-18-0</t>
  </si>
  <si>
    <t>1(2)</t>
  </si>
  <si>
    <t>0(5)</t>
  </si>
  <si>
    <t>64*(30)</t>
  </si>
  <si>
    <t>5(8)</t>
  </si>
  <si>
    <t>13(6)</t>
  </si>
  <si>
    <t>2(5)</t>
  </si>
  <si>
    <t>4*(5)</t>
  </si>
  <si>
    <t>1*(4)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</si>
</sst>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  <xf numFmtId="0" fontId="1" fillId="5" borderId="0" xfId="0" applyFont="1" applyFill="1"/>
    <xf numFmtId="0" fontId="4" fillId="5" borderId="0" xfId="0" applyFont="1" applyFill="1"/>
  </cellXfs>
  <cellStyles count="1">
    <cellStyle name="Normal" xfId="0" builtinId="0"/>
  </cellStyles>
  <dxfs count="12"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7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2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1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6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5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0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1">
  <autoFilter ref="B1:M16" xr:uid="{49A3408C-0247-4CD5-A29D-BD24868E3C86}"/>
  <sortState xmlns:xlrd2="http://schemas.microsoft.com/office/spreadsheetml/2017/richdata2" ref="B2:M16">
    <sortCondition descending="1" ref="E1:E16"/>
  </sortState>
  <tableColumns count="12">
    <tableColumn id="1" xr3:uid="{DF3F8A78-E028-47BD-898B-B8B42EAA7982}" name="BOWLER" dataDxfId="4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3"/>
    <tableColumn id="6" xr3:uid="{78E694E1-7AAB-426D-8C28-4E28699F7976}" name="RUNS"/>
    <tableColumn id="7" xr3:uid="{D07A61E1-CE03-4A8E-B536-BBBCC597E3A0}" name="ECONOMY" dataDxfId="10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9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8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tabSelected="1" zoomScale="84" zoomScaleNormal="64" workbookViewId="0">
      <selection activeCell="A2" sqref="A2:P21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80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52</v>
      </c>
      <c r="K1" s="2" t="s">
        <v>6</v>
      </c>
      <c r="L1" s="2" t="s">
        <v>7</v>
      </c>
      <c r="M1" s="2" t="s">
        <v>47</v>
      </c>
      <c r="N1" s="2" t="s">
        <v>88</v>
      </c>
      <c r="O1" s="2" t="s">
        <v>33</v>
      </c>
      <c r="P1" s="2" t="s">
        <v>85</v>
      </c>
    </row>
    <row r="2" spans="1:16" ht="15.6" x14ac:dyDescent="0.3">
      <c r="A2" s="7">
        <v>1</v>
      </c>
      <c r="B2" s="5" t="s">
        <v>12</v>
      </c>
      <c r="C2">
        <v>115</v>
      </c>
      <c r="D2">
        <v>103</v>
      </c>
      <c r="E2" s="4">
        <v>2428</v>
      </c>
      <c r="F2">
        <v>1043</v>
      </c>
      <c r="G2">
        <v>14</v>
      </c>
      <c r="H2">
        <f t="shared" ref="H2:H21" si="0">ROUND((E2*100)/F2,4)</f>
        <v>232.79</v>
      </c>
      <c r="I2">
        <f t="shared" ref="I2:I21" si="1">ROUND(E2/(D2-G2),4)</f>
        <v>27.280899999999999</v>
      </c>
      <c r="J2">
        <f t="shared" ref="J2:J21" si="2">ROUND(F2/(K2+L2),4)</f>
        <v>2.4599000000000002</v>
      </c>
      <c r="K2">
        <v>248</v>
      </c>
      <c r="L2">
        <v>176</v>
      </c>
      <c r="M2">
        <v>9</v>
      </c>
      <c r="N2">
        <v>2</v>
      </c>
      <c r="O2" s="8" t="s">
        <v>98</v>
      </c>
      <c r="P2" t="s">
        <v>113</v>
      </c>
    </row>
    <row r="3" spans="1:16" ht="15.6" x14ac:dyDescent="0.3">
      <c r="A3" s="9">
        <v>2</v>
      </c>
      <c r="B3" s="5" t="s">
        <v>32</v>
      </c>
      <c r="C3">
        <v>85</v>
      </c>
      <c r="D3">
        <v>75</v>
      </c>
      <c r="E3" s="4">
        <v>1192</v>
      </c>
      <c r="F3">
        <v>702</v>
      </c>
      <c r="G3">
        <v>10</v>
      </c>
      <c r="H3">
        <f t="shared" si="0"/>
        <v>169.8006</v>
      </c>
      <c r="I3">
        <f t="shared" si="1"/>
        <v>18.3385</v>
      </c>
      <c r="J3">
        <f t="shared" si="2"/>
        <v>3.5634999999999999</v>
      </c>
      <c r="K3">
        <v>78</v>
      </c>
      <c r="L3">
        <v>119</v>
      </c>
      <c r="M3">
        <v>1</v>
      </c>
      <c r="N3">
        <v>0</v>
      </c>
      <c r="O3" s="8" t="s">
        <v>43</v>
      </c>
      <c r="P3" t="s">
        <v>102</v>
      </c>
    </row>
    <row r="4" spans="1:16" ht="15.6" x14ac:dyDescent="0.3">
      <c r="A4" s="7">
        <v>3</v>
      </c>
      <c r="B4" s="5" t="s">
        <v>11</v>
      </c>
      <c r="C4">
        <v>98</v>
      </c>
      <c r="D4">
        <v>83</v>
      </c>
      <c r="E4" s="4">
        <v>852</v>
      </c>
      <c r="F4">
        <v>553</v>
      </c>
      <c r="G4">
        <v>13</v>
      </c>
      <c r="H4">
        <f t="shared" si="0"/>
        <v>154.06870000000001</v>
      </c>
      <c r="I4">
        <f t="shared" si="1"/>
        <v>12.1714</v>
      </c>
      <c r="J4">
        <f t="shared" si="2"/>
        <v>4.4240000000000004</v>
      </c>
      <c r="K4">
        <v>57</v>
      </c>
      <c r="L4">
        <v>68</v>
      </c>
      <c r="M4">
        <v>2</v>
      </c>
      <c r="N4">
        <v>0</v>
      </c>
      <c r="O4" s="8" t="s">
        <v>81</v>
      </c>
      <c r="P4" t="s">
        <v>104</v>
      </c>
    </row>
    <row r="5" spans="1:16" ht="15.6" x14ac:dyDescent="0.3">
      <c r="A5" s="9">
        <v>4</v>
      </c>
      <c r="B5" s="5" t="s">
        <v>9</v>
      </c>
      <c r="C5">
        <v>114</v>
      </c>
      <c r="D5">
        <v>94</v>
      </c>
      <c r="E5" s="4">
        <v>723</v>
      </c>
      <c r="F5">
        <v>590</v>
      </c>
      <c r="G5">
        <v>19</v>
      </c>
      <c r="H5">
        <f t="shared" si="0"/>
        <v>122.5424</v>
      </c>
      <c r="I5">
        <f t="shared" si="1"/>
        <v>9.64</v>
      </c>
      <c r="J5">
        <f t="shared" si="2"/>
        <v>5.4630000000000001</v>
      </c>
      <c r="K5">
        <v>47</v>
      </c>
      <c r="L5">
        <v>61</v>
      </c>
      <c r="M5">
        <v>1</v>
      </c>
      <c r="N5">
        <v>0</v>
      </c>
      <c r="O5" s="8" t="s">
        <v>45</v>
      </c>
      <c r="P5" t="s">
        <v>114</v>
      </c>
    </row>
    <row r="6" spans="1:16" ht="15.6" x14ac:dyDescent="0.3">
      <c r="A6" s="7">
        <v>5</v>
      </c>
      <c r="B6" s="5" t="s">
        <v>14</v>
      </c>
      <c r="C6">
        <v>82</v>
      </c>
      <c r="D6">
        <v>69</v>
      </c>
      <c r="E6" s="4">
        <v>682</v>
      </c>
      <c r="F6">
        <v>480</v>
      </c>
      <c r="G6">
        <v>11</v>
      </c>
      <c r="H6">
        <f t="shared" si="0"/>
        <v>142.08330000000001</v>
      </c>
      <c r="I6">
        <f t="shared" si="1"/>
        <v>11.758599999999999</v>
      </c>
      <c r="J6">
        <f t="shared" si="2"/>
        <v>4.6601999999999997</v>
      </c>
      <c r="K6">
        <v>32</v>
      </c>
      <c r="L6">
        <v>71</v>
      </c>
      <c r="M6">
        <v>0</v>
      </c>
      <c r="N6">
        <v>0</v>
      </c>
      <c r="O6" s="8" t="s">
        <v>82</v>
      </c>
      <c r="P6" t="s">
        <v>96</v>
      </c>
    </row>
    <row r="7" spans="1:16" ht="15.6" x14ac:dyDescent="0.3">
      <c r="A7" s="9">
        <v>6</v>
      </c>
      <c r="B7" s="5" t="s">
        <v>13</v>
      </c>
      <c r="C7">
        <v>64</v>
      </c>
      <c r="D7">
        <v>53</v>
      </c>
      <c r="E7" s="4">
        <v>413</v>
      </c>
      <c r="F7">
        <v>274</v>
      </c>
      <c r="G7">
        <v>6</v>
      </c>
      <c r="H7">
        <f t="shared" si="0"/>
        <v>150.72989999999999</v>
      </c>
      <c r="I7">
        <f t="shared" si="1"/>
        <v>8.7872000000000003</v>
      </c>
      <c r="J7">
        <f t="shared" si="2"/>
        <v>4.6440999999999999</v>
      </c>
      <c r="K7">
        <v>37</v>
      </c>
      <c r="L7">
        <v>22</v>
      </c>
      <c r="M7">
        <v>0</v>
      </c>
      <c r="N7">
        <v>0</v>
      </c>
      <c r="O7" s="8" t="s">
        <v>115</v>
      </c>
      <c r="P7" t="s">
        <v>115</v>
      </c>
    </row>
    <row r="8" spans="1:16" ht="15.6" x14ac:dyDescent="0.3">
      <c r="A8" s="7">
        <v>7</v>
      </c>
      <c r="B8" s="5" t="s">
        <v>10</v>
      </c>
      <c r="C8">
        <v>55</v>
      </c>
      <c r="D8">
        <v>43</v>
      </c>
      <c r="E8" s="4">
        <v>384</v>
      </c>
      <c r="F8">
        <v>247</v>
      </c>
      <c r="G8">
        <v>9</v>
      </c>
      <c r="H8">
        <f t="shared" si="0"/>
        <v>155.46559999999999</v>
      </c>
      <c r="I8">
        <f t="shared" si="1"/>
        <v>11.2941</v>
      </c>
      <c r="J8">
        <f t="shared" si="2"/>
        <v>4.1166999999999998</v>
      </c>
      <c r="K8">
        <v>27</v>
      </c>
      <c r="L8">
        <v>33</v>
      </c>
      <c r="M8">
        <v>0</v>
      </c>
      <c r="N8">
        <v>0</v>
      </c>
      <c r="O8" s="8" t="s">
        <v>42</v>
      </c>
      <c r="P8" t="s">
        <v>116</v>
      </c>
    </row>
    <row r="9" spans="1:16" ht="15.6" x14ac:dyDescent="0.3">
      <c r="A9" s="9">
        <v>8</v>
      </c>
      <c r="B9" s="5" t="s">
        <v>8</v>
      </c>
      <c r="C9">
        <v>129</v>
      </c>
      <c r="D9">
        <v>64</v>
      </c>
      <c r="E9" s="4">
        <v>372</v>
      </c>
      <c r="F9">
        <v>342</v>
      </c>
      <c r="G9">
        <v>23</v>
      </c>
      <c r="H9">
        <f t="shared" si="0"/>
        <v>108.7719</v>
      </c>
      <c r="I9">
        <f t="shared" si="1"/>
        <v>9.0731999999999999</v>
      </c>
      <c r="J9">
        <f t="shared" si="2"/>
        <v>6.9795999999999996</v>
      </c>
      <c r="K9">
        <v>15</v>
      </c>
      <c r="L9">
        <v>34</v>
      </c>
      <c r="M9">
        <v>0</v>
      </c>
      <c r="N9">
        <v>0</v>
      </c>
      <c r="O9" s="8" t="s">
        <v>49</v>
      </c>
      <c r="P9" t="s">
        <v>107</v>
      </c>
    </row>
    <row r="10" spans="1:16" ht="15.6" x14ac:dyDescent="0.3">
      <c r="A10" s="7">
        <v>9</v>
      </c>
      <c r="B10" s="5" t="s">
        <v>16</v>
      </c>
      <c r="C10">
        <v>55</v>
      </c>
      <c r="D10">
        <v>41</v>
      </c>
      <c r="E10" s="4">
        <v>311</v>
      </c>
      <c r="F10">
        <v>213</v>
      </c>
      <c r="G10">
        <v>7</v>
      </c>
      <c r="H10">
        <f t="shared" si="0"/>
        <v>146.0094</v>
      </c>
      <c r="I10">
        <f t="shared" si="1"/>
        <v>9.1471</v>
      </c>
      <c r="J10">
        <f t="shared" si="2"/>
        <v>4.6303999999999998</v>
      </c>
      <c r="K10">
        <v>29</v>
      </c>
      <c r="L10">
        <v>17</v>
      </c>
      <c r="M10">
        <v>0</v>
      </c>
      <c r="N10">
        <v>0</v>
      </c>
      <c r="O10" s="8" t="s">
        <v>51</v>
      </c>
      <c r="P10" t="s">
        <v>86</v>
      </c>
    </row>
    <row r="11" spans="1:16" ht="15.6" x14ac:dyDescent="0.3">
      <c r="A11" s="9">
        <v>10</v>
      </c>
      <c r="B11" s="5" t="s">
        <v>41</v>
      </c>
      <c r="C11">
        <v>44</v>
      </c>
      <c r="D11">
        <v>30</v>
      </c>
      <c r="E11" s="4">
        <v>311</v>
      </c>
      <c r="F11">
        <v>214</v>
      </c>
      <c r="G11">
        <v>5</v>
      </c>
      <c r="H11">
        <f t="shared" si="0"/>
        <v>145.3271</v>
      </c>
      <c r="I11">
        <f t="shared" si="1"/>
        <v>12.44</v>
      </c>
      <c r="J11">
        <f t="shared" si="2"/>
        <v>4.6521999999999997</v>
      </c>
      <c r="K11">
        <v>21</v>
      </c>
      <c r="L11">
        <v>25</v>
      </c>
      <c r="M11">
        <v>1</v>
      </c>
      <c r="N11">
        <v>0</v>
      </c>
      <c r="O11" s="8" t="s">
        <v>91</v>
      </c>
      <c r="P11" t="s">
        <v>117</v>
      </c>
    </row>
    <row r="12" spans="1:16" ht="15.6" x14ac:dyDescent="0.3">
      <c r="A12" s="7">
        <v>11</v>
      </c>
      <c r="B12" s="5" t="s">
        <v>15</v>
      </c>
      <c r="C12">
        <v>60</v>
      </c>
      <c r="D12">
        <v>40</v>
      </c>
      <c r="E12" s="4">
        <v>262</v>
      </c>
      <c r="F12">
        <v>262</v>
      </c>
      <c r="G12">
        <v>17</v>
      </c>
      <c r="H12">
        <f t="shared" si="0"/>
        <v>100</v>
      </c>
      <c r="I12">
        <f t="shared" si="1"/>
        <v>11.391299999999999</v>
      </c>
      <c r="J12">
        <f t="shared" si="2"/>
        <v>8.1875</v>
      </c>
      <c r="K12">
        <v>6</v>
      </c>
      <c r="L12">
        <v>26</v>
      </c>
      <c r="M12">
        <v>0</v>
      </c>
      <c r="N12">
        <v>0</v>
      </c>
      <c r="O12" s="8" t="s">
        <v>56</v>
      </c>
      <c r="P12" t="s">
        <v>118</v>
      </c>
    </row>
    <row r="13" spans="1:16" ht="15.6" x14ac:dyDescent="0.3">
      <c r="A13" s="9">
        <v>12</v>
      </c>
      <c r="B13" s="5" t="s">
        <v>94</v>
      </c>
      <c r="C13">
        <v>46</v>
      </c>
      <c r="D13">
        <v>29</v>
      </c>
      <c r="E13" s="4">
        <v>167</v>
      </c>
      <c r="F13">
        <v>125</v>
      </c>
      <c r="G13">
        <v>6</v>
      </c>
      <c r="H13">
        <f t="shared" si="0"/>
        <v>133.6</v>
      </c>
      <c r="I13">
        <f t="shared" si="1"/>
        <v>7.2609000000000004</v>
      </c>
      <c r="J13">
        <f t="shared" si="2"/>
        <v>5.9523999999999999</v>
      </c>
      <c r="K13">
        <v>10</v>
      </c>
      <c r="L13">
        <v>11</v>
      </c>
      <c r="M13">
        <v>0</v>
      </c>
      <c r="N13">
        <v>0</v>
      </c>
      <c r="O13" s="8" t="s">
        <v>61</v>
      </c>
      <c r="P13" t="s">
        <v>103</v>
      </c>
    </row>
    <row r="14" spans="1:16" ht="15.6" x14ac:dyDescent="0.3">
      <c r="A14" s="7">
        <v>13</v>
      </c>
      <c r="B14" s="5" t="s">
        <v>19</v>
      </c>
      <c r="C14">
        <v>76</v>
      </c>
      <c r="D14">
        <v>28</v>
      </c>
      <c r="E14" s="4">
        <v>129</v>
      </c>
      <c r="F14">
        <v>128</v>
      </c>
      <c r="G14">
        <v>10</v>
      </c>
      <c r="H14">
        <f t="shared" si="0"/>
        <v>100.7813</v>
      </c>
      <c r="I14">
        <f t="shared" si="1"/>
        <v>7.1666999999999996</v>
      </c>
      <c r="J14">
        <f t="shared" si="2"/>
        <v>10.666700000000001</v>
      </c>
      <c r="K14">
        <v>1</v>
      </c>
      <c r="L14">
        <v>11</v>
      </c>
      <c r="M14">
        <v>0</v>
      </c>
      <c r="N14">
        <v>0</v>
      </c>
      <c r="O14" s="8" t="s">
        <v>50</v>
      </c>
      <c r="P14" t="s">
        <v>86</v>
      </c>
    </row>
    <row r="15" spans="1:16" ht="15.6" x14ac:dyDescent="0.3">
      <c r="A15" s="9">
        <v>14</v>
      </c>
      <c r="B15" s="5" t="s">
        <v>20</v>
      </c>
      <c r="C15">
        <v>65</v>
      </c>
      <c r="D15">
        <v>28</v>
      </c>
      <c r="E15" s="4">
        <v>123</v>
      </c>
      <c r="F15">
        <v>134</v>
      </c>
      <c r="G15">
        <v>14</v>
      </c>
      <c r="H15">
        <f t="shared" si="0"/>
        <v>91.790999999999997</v>
      </c>
      <c r="I15">
        <f t="shared" si="1"/>
        <v>8.7857000000000003</v>
      </c>
      <c r="J15">
        <f t="shared" si="2"/>
        <v>8.9332999999999991</v>
      </c>
      <c r="K15">
        <v>1</v>
      </c>
      <c r="L15">
        <v>14</v>
      </c>
      <c r="M15">
        <v>0</v>
      </c>
      <c r="N15">
        <v>0</v>
      </c>
      <c r="O15" s="8" t="s">
        <v>62</v>
      </c>
      <c r="P15" t="s">
        <v>119</v>
      </c>
    </row>
    <row r="16" spans="1:16" ht="15.6" x14ac:dyDescent="0.3">
      <c r="A16" s="7">
        <v>15</v>
      </c>
      <c r="B16" s="5" t="s">
        <v>18</v>
      </c>
      <c r="C16">
        <v>46</v>
      </c>
      <c r="D16">
        <v>22</v>
      </c>
      <c r="E16" s="4">
        <v>81</v>
      </c>
      <c r="F16">
        <v>86</v>
      </c>
      <c r="G16">
        <v>7</v>
      </c>
      <c r="H16">
        <f t="shared" si="0"/>
        <v>94.186000000000007</v>
      </c>
      <c r="I16">
        <f t="shared" si="1"/>
        <v>5.4</v>
      </c>
      <c r="J16">
        <f t="shared" si="2"/>
        <v>7.8182</v>
      </c>
      <c r="K16">
        <v>2</v>
      </c>
      <c r="L16">
        <v>9</v>
      </c>
      <c r="M16">
        <v>0</v>
      </c>
      <c r="N16">
        <v>0</v>
      </c>
      <c r="O16" s="8" t="s">
        <v>89</v>
      </c>
      <c r="P16" t="s">
        <v>120</v>
      </c>
    </row>
    <row r="17" spans="1:16" ht="15.6" x14ac:dyDescent="0.3">
      <c r="A17" s="9">
        <v>16</v>
      </c>
      <c r="B17" s="5" t="s">
        <v>17</v>
      </c>
      <c r="C17">
        <v>41</v>
      </c>
      <c r="D17">
        <v>22</v>
      </c>
      <c r="E17" s="4">
        <v>73</v>
      </c>
      <c r="F17">
        <v>86</v>
      </c>
      <c r="G17">
        <v>1</v>
      </c>
      <c r="H17">
        <f t="shared" si="0"/>
        <v>84.883700000000005</v>
      </c>
      <c r="I17">
        <f t="shared" si="1"/>
        <v>3.4762</v>
      </c>
      <c r="J17">
        <f t="shared" si="2"/>
        <v>12.2857</v>
      </c>
      <c r="K17">
        <v>0</v>
      </c>
      <c r="L17">
        <v>7</v>
      </c>
      <c r="M17">
        <v>0</v>
      </c>
      <c r="N17">
        <v>0</v>
      </c>
      <c r="O17" s="8" t="s">
        <v>57</v>
      </c>
      <c r="P17" t="s">
        <v>97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 t="shared" si="0"/>
        <v>87.719300000000004</v>
      </c>
      <c r="I18">
        <f t="shared" si="1"/>
        <v>7.1429</v>
      </c>
      <c r="J18">
        <f t="shared" si="2"/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18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 t="shared" si="0"/>
        <v>88.888900000000007</v>
      </c>
      <c r="I19">
        <f t="shared" si="1"/>
        <v>5.7142999999999997</v>
      </c>
      <c r="J19">
        <f t="shared" si="2"/>
        <v>15</v>
      </c>
      <c r="K19">
        <v>0</v>
      </c>
      <c r="L19">
        <v>3</v>
      </c>
      <c r="M19">
        <v>0</v>
      </c>
      <c r="N19">
        <v>0</v>
      </c>
      <c r="O19" s="8" t="s">
        <v>54</v>
      </c>
      <c r="P19" t="s">
        <v>90</v>
      </c>
    </row>
    <row r="20" spans="1:16" ht="15.6" x14ac:dyDescent="0.3">
      <c r="A20" s="7">
        <v>19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 t="shared" si="0"/>
        <v>68.181799999999996</v>
      </c>
      <c r="I20">
        <f t="shared" si="1"/>
        <v>5</v>
      </c>
      <c r="J20">
        <f t="shared" si="2"/>
        <v>44</v>
      </c>
      <c r="K20">
        <v>0</v>
      </c>
      <c r="L20">
        <v>1</v>
      </c>
      <c r="M20">
        <v>0</v>
      </c>
      <c r="N20">
        <v>0</v>
      </c>
      <c r="O20" s="8" t="s">
        <v>55</v>
      </c>
    </row>
    <row r="21" spans="1:16" ht="15.6" x14ac:dyDescent="0.3">
      <c r="A21" s="9">
        <v>20</v>
      </c>
      <c r="B21" s="5" t="s">
        <v>46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 t="shared" si="0"/>
        <v>61.363599999999998</v>
      </c>
      <c r="I21">
        <f t="shared" si="1"/>
        <v>3.8571</v>
      </c>
      <c r="J21">
        <f t="shared" si="2"/>
        <v>14.666700000000001</v>
      </c>
      <c r="K21">
        <v>0</v>
      </c>
      <c r="L21">
        <v>3</v>
      </c>
      <c r="M21">
        <v>0</v>
      </c>
      <c r="N21">
        <v>0</v>
      </c>
      <c r="O21" s="8" t="s">
        <v>83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zoomScale="108" zoomScaleNormal="167" workbookViewId="0">
      <selection activeCell="C9" sqref="C9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80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85</v>
      </c>
    </row>
    <row r="2" spans="1:13" ht="15.6" x14ac:dyDescent="0.3">
      <c r="A2" s="7">
        <v>1</v>
      </c>
      <c r="B2" s="5" t="s">
        <v>8</v>
      </c>
      <c r="C2">
        <v>129</v>
      </c>
      <c r="D2">
        <v>184.2</v>
      </c>
      <c r="E2" s="11">
        <v>128</v>
      </c>
      <c r="F2">
        <v>1830</v>
      </c>
      <c r="G2">
        <f t="shared" ref="G2:G16" si="0">ROUND(F2*6 / (INT(D2)*6 + MOD(D2,1)*10),4)</f>
        <v>9.9276999999999997</v>
      </c>
      <c r="H2">
        <f t="shared" ref="H2:H14" si="1">ROUND(F2/E2,4)</f>
        <v>14.296900000000001</v>
      </c>
      <c r="I2">
        <f t="shared" ref="I2:I14" si="2">ROUND(IF(E2=0,"-", (INT(D2)*6 + MOD(D2,1)*10) / E2),4)</f>
        <v>8.6405999999999992</v>
      </c>
      <c r="J2">
        <v>12</v>
      </c>
      <c r="K2">
        <v>2</v>
      </c>
      <c r="L2" t="s">
        <v>38</v>
      </c>
      <c r="M2" t="s">
        <v>100</v>
      </c>
    </row>
    <row r="3" spans="1:13" ht="15.6" x14ac:dyDescent="0.3">
      <c r="A3">
        <v>2</v>
      </c>
      <c r="B3" s="5" t="s">
        <v>12</v>
      </c>
      <c r="C3">
        <v>115</v>
      </c>
      <c r="D3">
        <v>197.4</v>
      </c>
      <c r="E3" s="4">
        <v>126</v>
      </c>
      <c r="F3">
        <v>2044</v>
      </c>
      <c r="G3">
        <f t="shared" si="0"/>
        <v>10.3406</v>
      </c>
      <c r="H3">
        <f t="shared" si="1"/>
        <v>16.222200000000001</v>
      </c>
      <c r="I3">
        <f t="shared" si="2"/>
        <v>9.4126999999999992</v>
      </c>
      <c r="J3">
        <v>14</v>
      </c>
      <c r="K3">
        <v>2</v>
      </c>
      <c r="L3" t="s">
        <v>105</v>
      </c>
      <c r="M3" t="s">
        <v>108</v>
      </c>
    </row>
    <row r="4" spans="1:13" ht="15.6" x14ac:dyDescent="0.3">
      <c r="A4" s="7">
        <v>3</v>
      </c>
      <c r="B4" s="5" t="s">
        <v>32</v>
      </c>
      <c r="C4">
        <v>85</v>
      </c>
      <c r="D4">
        <v>136.30000000000001</v>
      </c>
      <c r="E4" s="4">
        <v>95</v>
      </c>
      <c r="F4">
        <v>1403</v>
      </c>
      <c r="G4">
        <f t="shared" si="0"/>
        <v>10.2784</v>
      </c>
      <c r="H4">
        <f t="shared" si="1"/>
        <v>14.7684</v>
      </c>
      <c r="I4">
        <f t="shared" si="2"/>
        <v>8.6211000000000002</v>
      </c>
      <c r="J4">
        <v>7</v>
      </c>
      <c r="K4">
        <v>0</v>
      </c>
      <c r="L4" t="s">
        <v>58</v>
      </c>
      <c r="M4" t="s">
        <v>101</v>
      </c>
    </row>
    <row r="5" spans="1:13" ht="15.6" x14ac:dyDescent="0.3">
      <c r="A5">
        <v>4</v>
      </c>
      <c r="B5" s="5" t="s">
        <v>9</v>
      </c>
      <c r="C5">
        <v>114</v>
      </c>
      <c r="D5">
        <v>124.4</v>
      </c>
      <c r="E5" s="4">
        <v>89</v>
      </c>
      <c r="F5">
        <v>1344</v>
      </c>
      <c r="G5">
        <f t="shared" si="0"/>
        <v>10.7807</v>
      </c>
      <c r="H5">
        <f t="shared" si="1"/>
        <v>15.101100000000001</v>
      </c>
      <c r="I5">
        <f t="shared" si="2"/>
        <v>8.4045000000000005</v>
      </c>
      <c r="J5">
        <v>9</v>
      </c>
      <c r="K5">
        <v>1</v>
      </c>
      <c r="L5" t="s">
        <v>87</v>
      </c>
      <c r="M5" t="s">
        <v>109</v>
      </c>
    </row>
    <row r="6" spans="1:13" ht="15.6" x14ac:dyDescent="0.3">
      <c r="A6" s="7">
        <v>5</v>
      </c>
      <c r="B6" s="5" t="s">
        <v>14</v>
      </c>
      <c r="C6">
        <v>82</v>
      </c>
      <c r="D6">
        <v>128.5</v>
      </c>
      <c r="E6" s="4">
        <v>79</v>
      </c>
      <c r="F6">
        <v>1391</v>
      </c>
      <c r="G6">
        <f t="shared" si="0"/>
        <v>10.796900000000001</v>
      </c>
      <c r="H6">
        <f t="shared" si="1"/>
        <v>17.607600000000001</v>
      </c>
      <c r="I6">
        <f t="shared" si="2"/>
        <v>9.7848000000000006</v>
      </c>
      <c r="J6">
        <v>11</v>
      </c>
      <c r="K6">
        <v>0</v>
      </c>
      <c r="L6" t="s">
        <v>53</v>
      </c>
      <c r="M6" t="s">
        <v>110</v>
      </c>
    </row>
    <row r="7" spans="1:13" ht="15.6" x14ac:dyDescent="0.3">
      <c r="A7">
        <v>6</v>
      </c>
      <c r="B7" s="5" t="s">
        <v>20</v>
      </c>
      <c r="C7">
        <v>65</v>
      </c>
      <c r="D7">
        <v>46.4</v>
      </c>
      <c r="E7" s="4">
        <v>38</v>
      </c>
      <c r="F7">
        <v>459</v>
      </c>
      <c r="G7">
        <f t="shared" si="0"/>
        <v>9.8356999999999992</v>
      </c>
      <c r="H7">
        <f t="shared" si="1"/>
        <v>12.078900000000001</v>
      </c>
      <c r="I7">
        <f t="shared" si="2"/>
        <v>7.3684000000000003</v>
      </c>
      <c r="J7">
        <v>3</v>
      </c>
      <c r="K7">
        <v>0</v>
      </c>
      <c r="L7" t="s">
        <v>39</v>
      </c>
      <c r="M7" t="s">
        <v>111</v>
      </c>
    </row>
    <row r="8" spans="1:13" ht="15.6" x14ac:dyDescent="0.3">
      <c r="A8" s="7">
        <v>7</v>
      </c>
      <c r="B8" s="5" t="s">
        <v>94</v>
      </c>
      <c r="C8">
        <v>46</v>
      </c>
      <c r="D8">
        <v>53</v>
      </c>
      <c r="E8" s="4">
        <v>34</v>
      </c>
      <c r="F8">
        <v>467</v>
      </c>
      <c r="G8">
        <f t="shared" si="0"/>
        <v>8.8112999999999992</v>
      </c>
      <c r="H8">
        <f t="shared" si="1"/>
        <v>13.735300000000001</v>
      </c>
      <c r="I8">
        <f t="shared" si="2"/>
        <v>9.3529</v>
      </c>
      <c r="J8">
        <v>3</v>
      </c>
      <c r="K8">
        <v>0</v>
      </c>
      <c r="L8" t="s">
        <v>59</v>
      </c>
      <c r="M8" t="s">
        <v>106</v>
      </c>
    </row>
    <row r="9" spans="1:13" ht="15.6" x14ac:dyDescent="0.3">
      <c r="A9">
        <v>8</v>
      </c>
      <c r="B9" s="5" t="s">
        <v>19</v>
      </c>
      <c r="C9">
        <v>76</v>
      </c>
      <c r="D9">
        <v>58.2</v>
      </c>
      <c r="E9" s="4">
        <v>34</v>
      </c>
      <c r="F9">
        <v>542</v>
      </c>
      <c r="G9">
        <f t="shared" si="0"/>
        <v>9.2913999999999994</v>
      </c>
      <c r="H9">
        <f t="shared" si="1"/>
        <v>15.9412</v>
      </c>
      <c r="I9">
        <f t="shared" si="2"/>
        <v>10.2941</v>
      </c>
      <c r="J9">
        <v>2</v>
      </c>
      <c r="K9">
        <v>0</v>
      </c>
      <c r="L9" t="s">
        <v>48</v>
      </c>
      <c r="M9" t="s">
        <v>112</v>
      </c>
    </row>
    <row r="10" spans="1:13" ht="15.6" x14ac:dyDescent="0.3">
      <c r="A10" s="7">
        <v>9</v>
      </c>
      <c r="B10" s="5" t="s">
        <v>17</v>
      </c>
      <c r="C10">
        <v>41</v>
      </c>
      <c r="D10">
        <v>43</v>
      </c>
      <c r="E10" s="4">
        <v>30</v>
      </c>
      <c r="F10">
        <v>412</v>
      </c>
      <c r="G10">
        <f t="shared" si="0"/>
        <v>9.5814000000000004</v>
      </c>
      <c r="H10">
        <f t="shared" si="1"/>
        <v>13.7333</v>
      </c>
      <c r="I10">
        <f t="shared" si="2"/>
        <v>8.6</v>
      </c>
      <c r="J10">
        <v>3</v>
      </c>
      <c r="K10">
        <v>0</v>
      </c>
      <c r="L10" t="s">
        <v>37</v>
      </c>
      <c r="M10" t="s">
        <v>99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98</v>
      </c>
      <c r="D12">
        <v>6</v>
      </c>
      <c r="E12" s="4">
        <v>7</v>
      </c>
      <c r="F12">
        <v>53</v>
      </c>
      <c r="G12">
        <f t="shared" si="0"/>
        <v>8.8332999999999995</v>
      </c>
      <c r="H12">
        <f t="shared" si="1"/>
        <v>7.5713999999999997</v>
      </c>
      <c r="I12">
        <f t="shared" si="2"/>
        <v>5.1429</v>
      </c>
      <c r="J12">
        <v>2</v>
      </c>
      <c r="K12">
        <v>0</v>
      </c>
      <c r="L12" t="s">
        <v>93</v>
      </c>
      <c r="M12" t="s">
        <v>95</v>
      </c>
    </row>
    <row r="13" spans="1:13" ht="15.6" x14ac:dyDescent="0.3">
      <c r="A13" s="9">
        <v>12</v>
      </c>
      <c r="B13" s="5" t="s">
        <v>10</v>
      </c>
      <c r="C13">
        <v>55</v>
      </c>
      <c r="D13">
        <v>8</v>
      </c>
      <c r="E13" s="4">
        <v>5</v>
      </c>
      <c r="F13">
        <v>91</v>
      </c>
      <c r="G13">
        <f t="shared" si="0"/>
        <v>11.375</v>
      </c>
      <c r="H13">
        <f t="shared" si="1"/>
        <v>18.2</v>
      </c>
      <c r="I13">
        <f t="shared" si="2"/>
        <v>9.6</v>
      </c>
      <c r="J13">
        <v>0</v>
      </c>
      <c r="K13">
        <v>0</v>
      </c>
      <c r="L13" s="1" t="s">
        <v>92</v>
      </c>
      <c r="M13" t="s">
        <v>92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 t="shared" si="0"/>
        <v>14.333299999999999</v>
      </c>
      <c r="H14">
        <f t="shared" si="1"/>
        <v>43</v>
      </c>
      <c r="I14">
        <f t="shared" si="2"/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12" t="s">
        <v>13</v>
      </c>
      <c r="C15" s="9">
        <v>64</v>
      </c>
      <c r="D15" s="9">
        <v>3</v>
      </c>
      <c r="E15" s="13">
        <v>0</v>
      </c>
      <c r="F15" s="9">
        <v>40</v>
      </c>
      <c r="G15" s="9">
        <f t="shared" si="0"/>
        <v>13.333299999999999</v>
      </c>
      <c r="H15" s="9" t="s">
        <v>60</v>
      </c>
      <c r="I15" s="9" t="s">
        <v>60</v>
      </c>
      <c r="J15" s="9">
        <v>0</v>
      </c>
      <c r="K15" s="9">
        <v>0</v>
      </c>
      <c r="L15" s="9" t="s">
        <v>35</v>
      </c>
      <c r="M15" s="9" t="s">
        <v>99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60</v>
      </c>
      <c r="I16" t="s">
        <v>60</v>
      </c>
      <c r="J16">
        <v>0</v>
      </c>
      <c r="K16">
        <v>0</v>
      </c>
      <c r="L16" t="s">
        <v>84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66</v>
      </c>
      <c r="B1" t="s">
        <v>65</v>
      </c>
      <c r="C1" t="s">
        <v>67</v>
      </c>
      <c r="D1" t="s">
        <v>68</v>
      </c>
      <c r="H1" t="s">
        <v>65</v>
      </c>
      <c r="K1" t="s">
        <v>68</v>
      </c>
      <c r="N1" t="s">
        <v>67</v>
      </c>
    </row>
    <row r="2" spans="1:15" x14ac:dyDescent="0.3">
      <c r="A2" t="s">
        <v>71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73</v>
      </c>
      <c r="I2" s="10">
        <v>46033</v>
      </c>
      <c r="K2" s="10" t="s">
        <v>75</v>
      </c>
      <c r="L2" s="10">
        <v>46143</v>
      </c>
      <c r="N2" t="s">
        <v>78</v>
      </c>
      <c r="O2" s="10">
        <v>46146</v>
      </c>
    </row>
    <row r="3" spans="1:15" x14ac:dyDescent="0.3">
      <c r="A3" t="s">
        <v>63</v>
      </c>
      <c r="B3">
        <v>5</v>
      </c>
      <c r="C3">
        <v>0</v>
      </c>
      <c r="D3">
        <v>1</v>
      </c>
      <c r="H3" t="s">
        <v>72</v>
      </c>
      <c r="I3" s="10">
        <v>46038</v>
      </c>
      <c r="K3" t="s">
        <v>74</v>
      </c>
      <c r="L3" s="10">
        <v>46147</v>
      </c>
    </row>
    <row r="4" spans="1:15" x14ac:dyDescent="0.3">
      <c r="A4" t="s">
        <v>64</v>
      </c>
      <c r="B4">
        <v>3</v>
      </c>
      <c r="C4">
        <v>1</v>
      </c>
      <c r="D4">
        <v>1</v>
      </c>
      <c r="H4" s="10" t="s">
        <v>74</v>
      </c>
      <c r="I4" s="10">
        <v>46042</v>
      </c>
    </row>
    <row r="5" spans="1:15" x14ac:dyDescent="0.3">
      <c r="A5" t="s">
        <v>69</v>
      </c>
      <c r="B5">
        <v>2</v>
      </c>
      <c r="C5">
        <v>0</v>
      </c>
      <c r="D5">
        <v>0</v>
      </c>
      <c r="H5" s="10" t="s">
        <v>75</v>
      </c>
      <c r="I5" s="10">
        <v>46071</v>
      </c>
    </row>
    <row r="6" spans="1:15" x14ac:dyDescent="0.3">
      <c r="H6" s="10" t="s">
        <v>76</v>
      </c>
      <c r="I6" s="10">
        <v>46076</v>
      </c>
    </row>
    <row r="7" spans="1:15" x14ac:dyDescent="0.3">
      <c r="A7" t="s">
        <v>70</v>
      </c>
      <c r="B7" t="s">
        <v>65</v>
      </c>
      <c r="C7" t="s">
        <v>67</v>
      </c>
      <c r="D7" t="s">
        <v>68</v>
      </c>
      <c r="H7" s="10" t="s">
        <v>76</v>
      </c>
      <c r="I7" s="10">
        <v>46080</v>
      </c>
    </row>
    <row r="8" spans="1:15" x14ac:dyDescent="0.3">
      <c r="A8" t="s">
        <v>71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74</v>
      </c>
      <c r="I8" s="10">
        <v>46093</v>
      </c>
    </row>
    <row r="9" spans="1:15" x14ac:dyDescent="0.3">
      <c r="A9" t="s">
        <v>63</v>
      </c>
      <c r="B9">
        <v>16</v>
      </c>
      <c r="C9">
        <v>0</v>
      </c>
      <c r="D9">
        <v>3</v>
      </c>
      <c r="H9" s="10" t="s">
        <v>77</v>
      </c>
      <c r="I9" s="10">
        <v>46118</v>
      </c>
    </row>
    <row r="10" spans="1:15" x14ac:dyDescent="0.3">
      <c r="A10" t="s">
        <v>64</v>
      </c>
      <c r="B10">
        <v>12</v>
      </c>
      <c r="C10">
        <v>2</v>
      </c>
      <c r="D10">
        <v>3</v>
      </c>
      <c r="H10" s="10" t="s">
        <v>77</v>
      </c>
      <c r="I10" s="10">
        <v>46129</v>
      </c>
    </row>
    <row r="11" spans="1:15" x14ac:dyDescent="0.3">
      <c r="A11" t="s">
        <v>69</v>
      </c>
      <c r="B11">
        <v>0</v>
      </c>
      <c r="C11">
        <v>0</v>
      </c>
      <c r="D11">
        <v>0</v>
      </c>
      <c r="H11" s="10" t="s">
        <v>75</v>
      </c>
      <c r="I11" s="10">
        <v>46187</v>
      </c>
    </row>
    <row r="12" spans="1:15" x14ac:dyDescent="0.3">
      <c r="H12" s="10" t="s">
        <v>76</v>
      </c>
      <c r="I12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2026-10-24T09:51:25Z</dcterms:modified>
</cp:coreProperties>
</file>