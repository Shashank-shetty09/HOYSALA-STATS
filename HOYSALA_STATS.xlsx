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Shetty\Downloads\H\"/>
    </mc:Choice>
  </mc:AlternateContent>
  <xr:revisionPtr revIDLastSave="0" documentId="13_ncr:1_{72609AEC-A68A-41B9-B850-E6D6D2837456}" xr6:coauthVersionLast="47" xr6:coauthVersionMax="47" xr10:uidLastSave="{00000000-0000-0000-0000-000000000000}"/>
  <bookViews>
    <workbookView xWindow="11424" yWindow="0" windowWidth="11712" windowHeight="13056" activeTab="1" xr2:uid="{49A19E03-9679-4684-9B3B-B42A2982796E}"/>
  </bookViews>
  <sheets>
    <sheet name="BATTING" sheetId="1" r:id="rId1"/>
    <sheet name="BOWLING" sheetId="2" r:id="rId2"/>
    <sheet name="TEA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D8" i="4" l="1"/>
  <c r="C8" i="4"/>
  <c r="B8" i="4"/>
  <c r="C2" i="4"/>
  <c r="D2" i="4"/>
  <c r="B2" i="4"/>
</calcChain>
</file>

<file path=xl/sharedStrings.xml><?xml version="1.0" encoding="utf-8"?>
<sst xmlns="http://schemas.openxmlformats.org/spreadsheetml/2006/main" count="172" uniqueCount="123">
  <si>
    <t>BATSMAN</t>
  </si>
  <si>
    <t>MATCHES</t>
  </si>
  <si>
    <t>INNINGS</t>
  </si>
  <si>
    <t>RUNS</t>
  </si>
  <si>
    <t>STRIKERATE</t>
  </si>
  <si>
    <t>AVERAGE</t>
  </si>
  <si>
    <t>SIXES</t>
  </si>
  <si>
    <t>FOURS</t>
  </si>
  <si>
    <t>SHASHANK SHETTY</t>
  </si>
  <si>
    <t>VISHNU VY</t>
  </si>
  <si>
    <t>NIKHIL</t>
  </si>
  <si>
    <t>AKASH</t>
  </si>
  <si>
    <t>HONNUR SWAMY</t>
  </si>
  <si>
    <t>BHARGAV</t>
  </si>
  <si>
    <t>PRASHANTH</t>
  </si>
  <si>
    <t>AKSHAY</t>
  </si>
  <si>
    <t>NIHAAL</t>
  </si>
  <si>
    <t>TUSHAR</t>
  </si>
  <si>
    <t>VIVEK</t>
  </si>
  <si>
    <t>JEEVAN</t>
  </si>
  <si>
    <t>MANOJ</t>
  </si>
  <si>
    <t>SUPREETH</t>
  </si>
  <si>
    <t>CHETHAN</t>
  </si>
  <si>
    <t>ADNAN</t>
  </si>
  <si>
    <t>NOT OUTS</t>
  </si>
  <si>
    <t>BOWLER</t>
  </si>
  <si>
    <t>OVERS</t>
  </si>
  <si>
    <t>WICKETS</t>
  </si>
  <si>
    <t>ECONOMY</t>
  </si>
  <si>
    <t>STRIKE RATE</t>
  </si>
  <si>
    <t>3-W</t>
  </si>
  <si>
    <t>5-W</t>
  </si>
  <si>
    <t>UJWAL</t>
  </si>
  <si>
    <t>BEST</t>
  </si>
  <si>
    <t>2-0-13-2</t>
  </si>
  <si>
    <t>1-0-11-0</t>
  </si>
  <si>
    <t>2-0-14-2</t>
  </si>
  <si>
    <t>2-0-14-4</t>
  </si>
  <si>
    <t>3-0-11-5</t>
  </si>
  <si>
    <t>1.1-0-8-3</t>
  </si>
  <si>
    <t>BALLS</t>
  </si>
  <si>
    <t>SHIVRAJ</t>
  </si>
  <si>
    <t>47(23)</t>
  </si>
  <si>
    <t>76(23)</t>
  </si>
  <si>
    <t>37(12)</t>
  </si>
  <si>
    <t>61(30)</t>
  </si>
  <si>
    <t>34(15)</t>
  </si>
  <si>
    <t>SAGAR</t>
  </si>
  <si>
    <t>50</t>
  </si>
  <si>
    <t>1-0-1-3</t>
  </si>
  <si>
    <t>25(20)*</t>
  </si>
  <si>
    <t>18(13)</t>
  </si>
  <si>
    <t>41(22)*</t>
  </si>
  <si>
    <t>Balls/bdry</t>
  </si>
  <si>
    <t>2-0-23-4</t>
  </si>
  <si>
    <t>10(15)</t>
  </si>
  <si>
    <t>21(28)*</t>
  </si>
  <si>
    <t>41(28)*</t>
  </si>
  <si>
    <t>15(15)</t>
  </si>
  <si>
    <t>2-0-28-4</t>
  </si>
  <si>
    <t>3-0-19-4</t>
  </si>
  <si>
    <t>-</t>
  </si>
  <si>
    <t>25(10)</t>
  </si>
  <si>
    <t>17(9)</t>
  </si>
  <si>
    <t>WON</t>
  </si>
  <si>
    <t>LOST</t>
  </si>
  <si>
    <t>ELITE</t>
  </si>
  <si>
    <t>SERIES VS</t>
  </si>
  <si>
    <t>ZERO11</t>
  </si>
  <si>
    <t>DOMINATORS</t>
  </si>
  <si>
    <t>TIE</t>
  </si>
  <si>
    <t>MATCHES VS</t>
  </si>
  <si>
    <t>TOTAL</t>
  </si>
  <si>
    <t>3-0</t>
  </si>
  <si>
    <t>0-3</t>
  </si>
  <si>
    <t>1--2</t>
  </si>
  <si>
    <t>2--1</t>
  </si>
  <si>
    <t>1--1</t>
  </si>
  <si>
    <t>2-0</t>
  </si>
  <si>
    <t>0--2</t>
  </si>
  <si>
    <t>HPL-UPL</t>
  </si>
  <si>
    <t>S.NO</t>
  </si>
  <si>
    <t>56(16)*</t>
  </si>
  <si>
    <t>37(19)</t>
  </si>
  <si>
    <t>8(4)</t>
  </si>
  <si>
    <t>0.4-0-14-0</t>
  </si>
  <si>
    <t>RECENT</t>
  </si>
  <si>
    <t>3-0-21-5</t>
  </si>
  <si>
    <t>2(7)</t>
  </si>
  <si>
    <t>3-0-22-5</t>
  </si>
  <si>
    <t>100</t>
  </si>
  <si>
    <t>14(10)</t>
  </si>
  <si>
    <t>4*(1)</t>
  </si>
  <si>
    <t>72(28)</t>
  </si>
  <si>
    <t>2-0-18-2</t>
  </si>
  <si>
    <t>1.3-0-4-3</t>
  </si>
  <si>
    <t>NITHIN</t>
  </si>
  <si>
    <t>2-0-34-3</t>
  </si>
  <si>
    <t>0(1)</t>
  </si>
  <si>
    <t>2(3)</t>
  </si>
  <si>
    <t>3(4)</t>
  </si>
  <si>
    <t>114*(35)</t>
  </si>
  <si>
    <t>JASWANTH</t>
  </si>
  <si>
    <t>3(2)</t>
  </si>
  <si>
    <t>0*(1)</t>
  </si>
  <si>
    <t>40(27)</t>
  </si>
  <si>
    <t>0.4-0-10-2</t>
  </si>
  <si>
    <t>1-0-17-0</t>
  </si>
  <si>
    <t>2-0-20-0</t>
  </si>
  <si>
    <t>1-0-13-1</t>
  </si>
  <si>
    <t>1-0-6-1</t>
  </si>
  <si>
    <t>1-0-6-2</t>
  </si>
  <si>
    <t>40(23)</t>
  </si>
  <si>
    <t>32(11)</t>
  </si>
  <si>
    <t>1(2)</t>
  </si>
  <si>
    <t>9(13)</t>
  </si>
  <si>
    <t>10(9)</t>
  </si>
  <si>
    <t>0(2)</t>
  </si>
  <si>
    <t>11(18)</t>
  </si>
  <si>
    <t>1*(1)</t>
  </si>
  <si>
    <t>1(3)</t>
  </si>
  <si>
    <t>0.5-0-17-0</t>
  </si>
  <si>
    <t>2-0-28-1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</si>
</sst>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0" borderId="0" xfId="0" applyFont="1"/>
    <xf numFmtId="0" fontId="5" fillId="3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0" fontId="0" fillId="5" borderId="0" xfId="0" applyFill="1"/>
    <xf numFmtId="16" fontId="0" fillId="0" borderId="0" xfId="0" applyNumberFormat="1"/>
    <xf numFmtId="0" fontId="4" fillId="4" borderId="0" xfId="0" applyFont="1" applyFill="1"/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</font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</font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7DDFC-3A72-44CB-983F-229A1A1468B1}" name="Table2" displayName="Table2" ref="B1:P21" totalsRowShown="0" headerRowDxfId="6">
  <autoFilter ref="B1:P21" xr:uid="{0F97DDFC-3A72-44CB-983F-229A1A1468B1}"/>
  <sortState xmlns:xlrd2="http://schemas.microsoft.com/office/spreadsheetml/2017/richdata2" ref="B2:P21">
    <sortCondition descending="1" ref="E1:E21"/>
  </sortState>
  <tableColumns count="15">
    <tableColumn id="1" xr3:uid="{C15DF0B9-618E-47DA-8A33-CD71200B092E}" name="BATSMAN" dataDxfId="5"/>
    <tableColumn id="2" xr3:uid="{B0D55D1D-9B26-494A-AE99-38C5AFC3C737}" name="MATCHES"/>
    <tableColumn id="3" xr3:uid="{CCF802D1-A7BC-408B-BD15-C91C133C0EB9}" name="INNINGS"/>
    <tableColumn id="4" xr3:uid="{B5AF2080-AEF0-4016-ACC5-E548AABF035A}" name="RUNS" dataDxfId="4"/>
    <tableColumn id="5" xr3:uid="{DAEE201A-601F-42D0-83EB-8042237BB8F1}" name="BALLS"/>
    <tableColumn id="6" xr3:uid="{77D48893-DB62-4827-81AA-B9B636B284A2}" name="NOT OUTS"/>
    <tableColumn id="7" xr3:uid="{8CACD82B-D7EE-43D0-8313-DCCB7294397A}" name="STRIKERATE" dataDxfId="11">
      <calculatedColumnFormula>ROUND((E2*100)/F2,4)</calculatedColumnFormula>
    </tableColumn>
    <tableColumn id="8" xr3:uid="{5054D285-4013-4CA8-9B26-BB20DDF70369}" name="AVERAGE">
      <calculatedColumnFormula>ROUND(E2/(D2-G2),4)</calculatedColumnFormula>
    </tableColumn>
    <tableColumn id="13" xr3:uid="{904E386A-A4C4-49C5-BBEA-F776FFBBF492}" name="Balls/bdry" dataDxfId="10">
      <calculatedColumnFormula>ROUND(F2/(K2+L2),4)</calculatedColumnFormula>
    </tableColumn>
    <tableColumn id="9" xr3:uid="{6E3AC171-CBFB-48D1-8DEC-84B19967FED6}" name="SIXES"/>
    <tableColumn id="10" xr3:uid="{FA7F32FA-25EC-49D7-83BA-B977DCA2EB7E}" name="FOURS"/>
    <tableColumn id="11" xr3:uid="{7AAC5DF8-D950-4CFD-9E29-0F30A8713A41}" name="50"/>
    <tableColumn id="16" xr3:uid="{FD9128AD-F709-4D8D-AC2A-2D6DF7EDB4DA}" name="100"/>
    <tableColumn id="12" xr3:uid="{F892FAD1-8022-46FA-A939-64475019A2F1}" name="BEST" dataDxfId="3"/>
    <tableColumn id="14" xr3:uid="{4C335D80-8126-40E8-82FA-5B2127C6432B}" name="RE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3408C-0247-4CD5-A29D-BD24868E3C86}" name="Table3" displayName="Table3" ref="B1:M16" totalsRowShown="0" headerRowDxfId="2">
  <autoFilter ref="B1:M16" xr:uid="{49A3408C-0247-4CD5-A29D-BD24868E3C86}"/>
  <sortState xmlns:xlrd2="http://schemas.microsoft.com/office/spreadsheetml/2017/richdata2" ref="B2:M16">
    <sortCondition descending="1" ref="E1:E16"/>
  </sortState>
  <tableColumns count="12">
    <tableColumn id="1" xr3:uid="{DF3F8A78-E028-47BD-898B-B8B42EAA7982}" name="BOWLER" dataDxfId="1"/>
    <tableColumn id="2" xr3:uid="{1CCFF81C-BC92-4A76-B56C-B10941B686C0}" name="MATCHES"/>
    <tableColumn id="3" xr3:uid="{D9664D52-CBD7-402A-BA0B-70DD50E1D070}" name="OVERS"/>
    <tableColumn id="5" xr3:uid="{6CBB4D12-262F-4C44-AC9D-77B28B5DBB8D}" name="WICKETS" dataDxfId="0"/>
    <tableColumn id="6" xr3:uid="{78E694E1-7AAB-426D-8C28-4E28699F7976}" name="RUNS"/>
    <tableColumn id="7" xr3:uid="{D07A61E1-CE03-4A8E-B536-BBBCC597E3A0}" name="ECONOMY" dataDxfId="9">
      <calculatedColumnFormula>ROUND(F2*6 / (INT(D2)*6 + MOD(D2,1)*10),4)</calculatedColumnFormula>
    </tableColumn>
    <tableColumn id="8" xr3:uid="{E6701972-3E31-40DC-B880-8AE83B2676F5}" name="AVERAGE"/>
    <tableColumn id="9" xr3:uid="{C17AF204-6B7A-423B-9E48-043FE5062999}" name="STRIKE RATE" dataDxfId="8"/>
    <tableColumn id="10" xr3:uid="{25D73F67-7CAB-4724-82EC-A783B5148E55}" name="3-W"/>
    <tableColumn id="11" xr3:uid="{AFC247A0-D713-49AC-BC60-9F1D05EDA9D5}" name="5-W"/>
    <tableColumn id="12" xr3:uid="{0FF58AB5-B9DE-4D4F-98F3-BD4BE7CD8E9F}" name="BEST" totalsRowDxfId="7"/>
    <tableColumn id="4" xr3:uid="{DF2DD04F-F802-44A6-9B17-5D9546607C85}" name="RE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109-6EC0-44A9-A26E-860519EDADCB}">
  <dimension ref="A1:P22"/>
  <sheetViews>
    <sheetView zoomScale="84" zoomScaleNormal="64" workbookViewId="0">
      <selection activeCell="A2" sqref="A2:P22"/>
    </sheetView>
  </sheetViews>
  <sheetFormatPr defaultRowHeight="14.4" x14ac:dyDescent="0.3"/>
  <cols>
    <col min="1" max="1" width="5.44140625" bestFit="1" customWidth="1"/>
    <col min="2" max="2" width="18" bestFit="1" customWidth="1"/>
    <col min="3" max="3" width="13.6640625" bestFit="1" customWidth="1"/>
    <col min="4" max="4" width="12.5546875" bestFit="1" customWidth="1"/>
    <col min="5" max="5" width="9.33203125" bestFit="1" customWidth="1"/>
    <col min="6" max="6" width="9.88671875" bestFit="1" customWidth="1"/>
    <col min="7" max="7" width="13.88671875" bestFit="1" customWidth="1"/>
    <col min="8" max="8" width="15.6640625" bestFit="1" customWidth="1"/>
    <col min="9" max="9" width="13.33203125" bestFit="1" customWidth="1"/>
    <col min="10" max="10" width="14.109375" bestFit="1" customWidth="1"/>
    <col min="11" max="11" width="9.44140625" customWidth="1"/>
    <col min="12" max="12" width="10.5546875" bestFit="1" customWidth="1"/>
    <col min="13" max="13" width="6" bestFit="1" customWidth="1"/>
    <col min="14" max="14" width="8.6640625" bestFit="1" customWidth="1"/>
  </cols>
  <sheetData>
    <row r="1" spans="1:16" ht="17.399999999999999" x14ac:dyDescent="0.35">
      <c r="A1" s="6" t="s">
        <v>81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40</v>
      </c>
      <c r="G1" s="2" t="s">
        <v>24</v>
      </c>
      <c r="H1" s="2" t="s">
        <v>4</v>
      </c>
      <c r="I1" s="2" t="s">
        <v>5</v>
      </c>
      <c r="J1" s="2" t="s">
        <v>53</v>
      </c>
      <c r="K1" s="2" t="s">
        <v>6</v>
      </c>
      <c r="L1" s="2" t="s">
        <v>7</v>
      </c>
      <c r="M1" s="2" t="s">
        <v>48</v>
      </c>
      <c r="N1" s="2" t="s">
        <v>90</v>
      </c>
      <c r="O1" s="2" t="s">
        <v>33</v>
      </c>
      <c r="P1" s="2" t="s">
        <v>86</v>
      </c>
    </row>
    <row r="2" spans="1:16" ht="15.6" x14ac:dyDescent="0.3">
      <c r="A2" s="7">
        <v>1</v>
      </c>
      <c r="B2" s="5" t="s">
        <v>12</v>
      </c>
      <c r="C2">
        <v>106</v>
      </c>
      <c r="D2">
        <v>95</v>
      </c>
      <c r="E2" s="4">
        <v>2161</v>
      </c>
      <c r="F2">
        <v>945</v>
      </c>
      <c r="G2">
        <v>12</v>
      </c>
      <c r="H2">
        <f>ROUND((E2*100)/F2,4)</f>
        <v>228.6772</v>
      </c>
      <c r="I2">
        <f>ROUND(E2/(D2-G2),4)</f>
        <v>26.036100000000001</v>
      </c>
      <c r="J2">
        <f>ROUND(F2/(K2+L2),4)</f>
        <v>2.52</v>
      </c>
      <c r="K2">
        <v>222</v>
      </c>
      <c r="L2">
        <v>153</v>
      </c>
      <c r="M2">
        <v>7</v>
      </c>
      <c r="N2">
        <v>2</v>
      </c>
      <c r="O2" s="8" t="s">
        <v>101</v>
      </c>
      <c r="P2" t="s">
        <v>104</v>
      </c>
    </row>
    <row r="3" spans="1:16" ht="15.6" x14ac:dyDescent="0.3">
      <c r="A3" s="9">
        <v>2</v>
      </c>
      <c r="B3" s="5" t="s">
        <v>32</v>
      </c>
      <c r="C3">
        <v>85</v>
      </c>
      <c r="D3">
        <v>75</v>
      </c>
      <c r="E3" s="4">
        <v>1192</v>
      </c>
      <c r="F3">
        <v>702</v>
      </c>
      <c r="G3">
        <v>10</v>
      </c>
      <c r="H3">
        <f>ROUND((E3*100)/F3,4)</f>
        <v>169.8006</v>
      </c>
      <c r="I3">
        <f>ROUND(E3/(D3-G3),4)</f>
        <v>18.3385</v>
      </c>
      <c r="J3">
        <f>ROUND(F3/(K3+L3),4)</f>
        <v>3.5634999999999999</v>
      </c>
      <c r="K3">
        <v>78</v>
      </c>
      <c r="L3">
        <v>119</v>
      </c>
      <c r="M3">
        <v>1</v>
      </c>
      <c r="N3">
        <v>0</v>
      </c>
      <c r="O3" s="8" t="s">
        <v>43</v>
      </c>
      <c r="P3" t="s">
        <v>112</v>
      </c>
    </row>
    <row r="4" spans="1:16" ht="15.6" x14ac:dyDescent="0.3">
      <c r="A4" s="7">
        <v>3</v>
      </c>
      <c r="B4" s="5" t="s">
        <v>11</v>
      </c>
      <c r="C4">
        <v>92</v>
      </c>
      <c r="D4">
        <v>77</v>
      </c>
      <c r="E4" s="4">
        <v>836</v>
      </c>
      <c r="F4">
        <v>533</v>
      </c>
      <c r="G4">
        <v>12</v>
      </c>
      <c r="H4">
        <f>ROUND((E4*100)/F4,4)</f>
        <v>156.84800000000001</v>
      </c>
      <c r="I4">
        <f>ROUND(E4/(D4-G4),4)</f>
        <v>12.861499999999999</v>
      </c>
      <c r="J4">
        <f>ROUND(F4/(K4+L4),4)</f>
        <v>4.3333000000000004</v>
      </c>
      <c r="K4">
        <v>57</v>
      </c>
      <c r="L4">
        <v>66</v>
      </c>
      <c r="M4">
        <v>2</v>
      </c>
      <c r="N4">
        <v>0</v>
      </c>
      <c r="O4" s="8" t="s">
        <v>82</v>
      </c>
      <c r="P4" t="s">
        <v>98</v>
      </c>
    </row>
    <row r="5" spans="1:16" ht="15.6" x14ac:dyDescent="0.3">
      <c r="A5" s="9">
        <v>4</v>
      </c>
      <c r="B5" s="5" t="s">
        <v>9</v>
      </c>
      <c r="C5">
        <v>105</v>
      </c>
      <c r="D5">
        <v>86</v>
      </c>
      <c r="E5" s="4">
        <v>687</v>
      </c>
      <c r="F5">
        <v>531</v>
      </c>
      <c r="G5">
        <v>18</v>
      </c>
      <c r="H5">
        <f>ROUND((E5*100)/F5,4)</f>
        <v>129.3785</v>
      </c>
      <c r="I5">
        <f>ROUND(E5/(D5-G5),4)</f>
        <v>10.1029</v>
      </c>
      <c r="J5">
        <f>ROUND(F5/(K5+L5),4)</f>
        <v>5.0571000000000002</v>
      </c>
      <c r="K5">
        <v>45</v>
      </c>
      <c r="L5">
        <v>60</v>
      </c>
      <c r="M5">
        <v>1</v>
      </c>
      <c r="N5">
        <v>0</v>
      </c>
      <c r="O5" s="8" t="s">
        <v>45</v>
      </c>
      <c r="P5" t="s">
        <v>114</v>
      </c>
    </row>
    <row r="6" spans="1:16" ht="15.6" x14ac:dyDescent="0.3">
      <c r="A6" s="7">
        <v>5</v>
      </c>
      <c r="B6" s="5" t="s">
        <v>14</v>
      </c>
      <c r="C6">
        <v>73</v>
      </c>
      <c r="D6">
        <v>60</v>
      </c>
      <c r="E6" s="4">
        <v>601</v>
      </c>
      <c r="F6">
        <v>426</v>
      </c>
      <c r="G6">
        <v>11</v>
      </c>
      <c r="H6">
        <f>ROUND((E6*100)/F6,4)</f>
        <v>141.07980000000001</v>
      </c>
      <c r="I6">
        <f>ROUND(E6/(D6-G6),4)</f>
        <v>12.2653</v>
      </c>
      <c r="J6">
        <f>ROUND(F6/(K6+L6),4)</f>
        <v>4.6813000000000002</v>
      </c>
      <c r="K6">
        <v>29</v>
      </c>
      <c r="L6">
        <v>62</v>
      </c>
      <c r="M6">
        <v>0</v>
      </c>
      <c r="N6">
        <v>0</v>
      </c>
      <c r="O6" s="8" t="s">
        <v>83</v>
      </c>
      <c r="P6" t="s">
        <v>115</v>
      </c>
    </row>
    <row r="7" spans="1:16" ht="15.6" x14ac:dyDescent="0.3">
      <c r="A7" s="9">
        <v>6</v>
      </c>
      <c r="B7" s="5" t="s">
        <v>10</v>
      </c>
      <c r="C7">
        <v>53</v>
      </c>
      <c r="D7">
        <v>41</v>
      </c>
      <c r="E7" s="4">
        <v>374</v>
      </c>
      <c r="F7">
        <v>236</v>
      </c>
      <c r="G7">
        <v>9</v>
      </c>
      <c r="H7">
        <f>ROUND((E7*100)/F7,4)</f>
        <v>158.47460000000001</v>
      </c>
      <c r="I7">
        <f>ROUND(E7/(D7-G7),4)</f>
        <v>11.6875</v>
      </c>
      <c r="J7">
        <f>ROUND(F7/(K7+L7),4)</f>
        <v>4</v>
      </c>
      <c r="K7">
        <v>27</v>
      </c>
      <c r="L7">
        <v>32</v>
      </c>
      <c r="M7">
        <v>0</v>
      </c>
      <c r="N7">
        <v>0</v>
      </c>
      <c r="O7" s="8" t="s">
        <v>42</v>
      </c>
      <c r="P7" t="s">
        <v>99</v>
      </c>
    </row>
    <row r="8" spans="1:16" ht="15.6" x14ac:dyDescent="0.3">
      <c r="A8" s="7">
        <v>7</v>
      </c>
      <c r="B8" s="5" t="s">
        <v>8</v>
      </c>
      <c r="C8">
        <v>124</v>
      </c>
      <c r="D8">
        <v>63</v>
      </c>
      <c r="E8" s="4">
        <v>367</v>
      </c>
      <c r="F8">
        <v>339</v>
      </c>
      <c r="G8">
        <v>22</v>
      </c>
      <c r="H8">
        <f>ROUND((E8*100)/F8,4)</f>
        <v>108.25960000000001</v>
      </c>
      <c r="I8">
        <f>ROUND(E8/(D8-G8),4)</f>
        <v>8.9512</v>
      </c>
      <c r="J8">
        <f>ROUND(F8/(K8+L8),4)</f>
        <v>7.0625</v>
      </c>
      <c r="K8">
        <v>15</v>
      </c>
      <c r="L8">
        <v>33</v>
      </c>
      <c r="M8">
        <v>0</v>
      </c>
      <c r="N8">
        <v>0</v>
      </c>
      <c r="O8" s="8" t="s">
        <v>50</v>
      </c>
      <c r="P8" t="s">
        <v>116</v>
      </c>
    </row>
    <row r="9" spans="1:16" ht="15.6" x14ac:dyDescent="0.3">
      <c r="A9" s="9">
        <v>8</v>
      </c>
      <c r="B9" s="5" t="s">
        <v>13</v>
      </c>
      <c r="C9">
        <v>62</v>
      </c>
      <c r="D9">
        <v>51</v>
      </c>
      <c r="E9" s="4">
        <v>340</v>
      </c>
      <c r="F9">
        <v>237</v>
      </c>
      <c r="G9">
        <v>5</v>
      </c>
      <c r="H9">
        <f>ROUND((E9*100)/F9,4)</f>
        <v>143.4599</v>
      </c>
      <c r="I9">
        <f>ROUND(E9/(D9-G9),4)</f>
        <v>7.3913000000000002</v>
      </c>
      <c r="J9">
        <f>ROUND(F9/(K9+L9),4)</f>
        <v>4.74</v>
      </c>
      <c r="K9">
        <v>29</v>
      </c>
      <c r="L9">
        <v>21</v>
      </c>
      <c r="M9">
        <v>0</v>
      </c>
      <c r="N9">
        <v>0</v>
      </c>
      <c r="O9" s="8" t="s">
        <v>46</v>
      </c>
      <c r="P9" t="s">
        <v>117</v>
      </c>
    </row>
    <row r="10" spans="1:16" ht="15.6" x14ac:dyDescent="0.3">
      <c r="A10" s="7">
        <v>9</v>
      </c>
      <c r="B10" s="5" t="s">
        <v>16</v>
      </c>
      <c r="C10">
        <v>55</v>
      </c>
      <c r="D10">
        <v>41</v>
      </c>
      <c r="E10" s="4">
        <v>311</v>
      </c>
      <c r="F10">
        <v>213</v>
      </c>
      <c r="G10">
        <v>7</v>
      </c>
      <c r="H10">
        <f>ROUND((E10*100)/F10,4)</f>
        <v>146.0094</v>
      </c>
      <c r="I10">
        <f>ROUND(E10/(D10-G10),4)</f>
        <v>9.1471</v>
      </c>
      <c r="J10">
        <f>ROUND(F10/(K10+L10),4)</f>
        <v>4.6303999999999998</v>
      </c>
      <c r="K10">
        <v>29</v>
      </c>
      <c r="L10">
        <v>17</v>
      </c>
      <c r="M10">
        <v>0</v>
      </c>
      <c r="N10">
        <v>0</v>
      </c>
      <c r="O10" s="8" t="s">
        <v>52</v>
      </c>
      <c r="P10" t="s">
        <v>88</v>
      </c>
    </row>
    <row r="11" spans="1:16" ht="15.6" x14ac:dyDescent="0.3">
      <c r="A11" s="9">
        <v>10</v>
      </c>
      <c r="B11" s="5" t="s">
        <v>41</v>
      </c>
      <c r="C11">
        <v>42</v>
      </c>
      <c r="D11">
        <v>28</v>
      </c>
      <c r="E11" s="4">
        <v>298</v>
      </c>
      <c r="F11">
        <v>207</v>
      </c>
      <c r="G11">
        <v>5</v>
      </c>
      <c r="H11">
        <f>ROUND((E11*100)/F11,4)</f>
        <v>143.9614</v>
      </c>
      <c r="I11">
        <f>ROUND(E11/(D11-G11),4)</f>
        <v>12.9565</v>
      </c>
      <c r="J11">
        <f>ROUND(F11/(K11+L11),4)</f>
        <v>4.7045000000000003</v>
      </c>
      <c r="K11">
        <v>19</v>
      </c>
      <c r="L11">
        <v>25</v>
      </c>
      <c r="M11">
        <v>1</v>
      </c>
      <c r="N11">
        <v>0</v>
      </c>
      <c r="O11" s="8" t="s">
        <v>93</v>
      </c>
      <c r="P11" t="s">
        <v>103</v>
      </c>
    </row>
    <row r="12" spans="1:16" ht="15.6" x14ac:dyDescent="0.3">
      <c r="A12" s="7">
        <v>11</v>
      </c>
      <c r="B12" s="5" t="s">
        <v>15</v>
      </c>
      <c r="C12">
        <v>58</v>
      </c>
      <c r="D12">
        <v>38</v>
      </c>
      <c r="E12" s="4">
        <v>258</v>
      </c>
      <c r="F12">
        <v>252</v>
      </c>
      <c r="G12">
        <v>17</v>
      </c>
      <c r="H12">
        <f>ROUND((E12*100)/F12,4)</f>
        <v>102.381</v>
      </c>
      <c r="I12">
        <f>ROUND(E12/(D12-G12),4)</f>
        <v>12.2857</v>
      </c>
      <c r="J12">
        <f>ROUND(F12/(K12+L12),4)</f>
        <v>7.875</v>
      </c>
      <c r="K12">
        <v>6</v>
      </c>
      <c r="L12">
        <v>26</v>
      </c>
      <c r="M12">
        <v>0</v>
      </c>
      <c r="N12">
        <v>0</v>
      </c>
      <c r="O12" s="8" t="s">
        <v>57</v>
      </c>
      <c r="P12" t="s">
        <v>118</v>
      </c>
    </row>
    <row r="13" spans="1:16" ht="15.6" x14ac:dyDescent="0.3">
      <c r="A13" s="9">
        <v>12</v>
      </c>
      <c r="B13" s="5" t="s">
        <v>96</v>
      </c>
      <c r="C13">
        <v>44</v>
      </c>
      <c r="D13">
        <v>27</v>
      </c>
      <c r="E13" s="4">
        <v>167</v>
      </c>
      <c r="F13">
        <v>121</v>
      </c>
      <c r="G13">
        <v>6</v>
      </c>
      <c r="H13">
        <f>ROUND((E13*100)/F13,4)</f>
        <v>138.01650000000001</v>
      </c>
      <c r="I13">
        <f>ROUND(E13/(D13-G13),4)</f>
        <v>7.9523999999999999</v>
      </c>
      <c r="J13">
        <f>ROUND(F13/(K13+L13),4)</f>
        <v>5.7618999999999998</v>
      </c>
      <c r="K13">
        <v>10</v>
      </c>
      <c r="L13">
        <v>11</v>
      </c>
      <c r="M13">
        <v>0</v>
      </c>
      <c r="N13">
        <v>0</v>
      </c>
      <c r="O13" s="8" t="s">
        <v>62</v>
      </c>
      <c r="P13" t="s">
        <v>84</v>
      </c>
    </row>
    <row r="14" spans="1:16" ht="15.6" x14ac:dyDescent="0.3">
      <c r="A14" s="7">
        <v>13</v>
      </c>
      <c r="B14" s="5" t="s">
        <v>19</v>
      </c>
      <c r="C14">
        <v>74</v>
      </c>
      <c r="D14">
        <v>27</v>
      </c>
      <c r="E14" s="4">
        <v>127</v>
      </c>
      <c r="F14">
        <v>121</v>
      </c>
      <c r="G14">
        <v>10</v>
      </c>
      <c r="H14">
        <f>ROUND((E14*100)/F14,4)</f>
        <v>104.95869999999999</v>
      </c>
      <c r="I14">
        <f>ROUND(E14/(D14-G14),4)</f>
        <v>7.4706000000000001</v>
      </c>
      <c r="J14">
        <f>ROUND(F14/(K14+L14),4)</f>
        <v>10.083299999999999</v>
      </c>
      <c r="K14">
        <v>1</v>
      </c>
      <c r="L14">
        <v>11</v>
      </c>
      <c r="M14">
        <v>0</v>
      </c>
      <c r="N14">
        <v>0</v>
      </c>
      <c r="O14" s="8" t="s">
        <v>51</v>
      </c>
      <c r="P14" t="s">
        <v>98</v>
      </c>
    </row>
    <row r="15" spans="1:16" ht="15.6" x14ac:dyDescent="0.3">
      <c r="A15" s="9">
        <v>14</v>
      </c>
      <c r="B15" s="5" t="s">
        <v>20</v>
      </c>
      <c r="C15">
        <v>61</v>
      </c>
      <c r="D15">
        <v>26</v>
      </c>
      <c r="E15" s="4">
        <v>117</v>
      </c>
      <c r="F15">
        <v>121</v>
      </c>
      <c r="G15">
        <v>13</v>
      </c>
      <c r="H15">
        <f>ROUND((E15*100)/F15,4)</f>
        <v>96.694199999999995</v>
      </c>
      <c r="I15">
        <f>ROUND(E15/(D15-G15),4)</f>
        <v>9</v>
      </c>
      <c r="J15">
        <f>ROUND(F15/(K15+L15),4)</f>
        <v>8.0667000000000009</v>
      </c>
      <c r="K15">
        <v>1</v>
      </c>
      <c r="L15">
        <v>14</v>
      </c>
      <c r="M15">
        <v>0</v>
      </c>
      <c r="N15">
        <v>0</v>
      </c>
      <c r="O15" s="8" t="s">
        <v>63</v>
      </c>
      <c r="P15" t="s">
        <v>119</v>
      </c>
    </row>
    <row r="16" spans="1:16" ht="15.6" x14ac:dyDescent="0.3">
      <c r="A16" s="7">
        <v>15</v>
      </c>
      <c r="B16" s="5" t="s">
        <v>102</v>
      </c>
      <c r="C16">
        <v>6</v>
      </c>
      <c r="D16">
        <v>5</v>
      </c>
      <c r="E16" s="4">
        <v>84</v>
      </c>
      <c r="F16">
        <v>53</v>
      </c>
      <c r="G16">
        <v>1</v>
      </c>
      <c r="H16">
        <f>ROUND((E16*100)/F16,4)</f>
        <v>158.4906</v>
      </c>
      <c r="I16">
        <f>ROUND(E16/(D16-G16),4)</f>
        <v>21</v>
      </c>
      <c r="J16">
        <f>ROUND(F16/(K16+L16),4)</f>
        <v>3.5333000000000001</v>
      </c>
      <c r="K16">
        <v>3</v>
      </c>
      <c r="L16">
        <v>12</v>
      </c>
      <c r="M16">
        <v>0</v>
      </c>
      <c r="N16">
        <v>0</v>
      </c>
      <c r="O16" s="8" t="s">
        <v>105</v>
      </c>
      <c r="P16" t="s">
        <v>113</v>
      </c>
    </row>
    <row r="17" spans="1:16" ht="15.6" x14ac:dyDescent="0.3">
      <c r="A17" s="9">
        <v>16</v>
      </c>
      <c r="B17" s="5" t="s">
        <v>18</v>
      </c>
      <c r="C17">
        <v>44</v>
      </c>
      <c r="D17">
        <v>21</v>
      </c>
      <c r="E17" s="4">
        <v>80</v>
      </c>
      <c r="F17">
        <v>82</v>
      </c>
      <c r="G17">
        <v>6</v>
      </c>
      <c r="H17">
        <f>ROUND((E17*100)/F17,4)</f>
        <v>97.561000000000007</v>
      </c>
      <c r="I17">
        <f>ROUND(E17/(D17-G17),4)</f>
        <v>5.3333000000000004</v>
      </c>
      <c r="J17">
        <f>ROUND(F17/(K17+L17),4)</f>
        <v>7.4545000000000003</v>
      </c>
      <c r="K17">
        <v>2</v>
      </c>
      <c r="L17">
        <v>9</v>
      </c>
      <c r="M17">
        <v>0</v>
      </c>
      <c r="N17">
        <v>0</v>
      </c>
      <c r="O17" s="8" t="s">
        <v>91</v>
      </c>
      <c r="P17" t="s">
        <v>120</v>
      </c>
    </row>
    <row r="18" spans="1:16" ht="15.6" x14ac:dyDescent="0.3">
      <c r="A18" s="7">
        <v>17</v>
      </c>
      <c r="B18" s="5" t="s">
        <v>17</v>
      </c>
      <c r="C18">
        <v>41</v>
      </c>
      <c r="D18">
        <v>22</v>
      </c>
      <c r="E18" s="4">
        <v>73</v>
      </c>
      <c r="F18">
        <v>86</v>
      </c>
      <c r="G18">
        <v>1</v>
      </c>
      <c r="H18">
        <f>ROUND((E18*100)/F18,4)</f>
        <v>84.883700000000005</v>
      </c>
      <c r="I18">
        <f>ROUND(E18/(D18-G18),4)</f>
        <v>3.4762</v>
      </c>
      <c r="J18">
        <f>ROUND(F18/(K18+L18),4)</f>
        <v>12.2857</v>
      </c>
      <c r="K18">
        <v>0</v>
      </c>
      <c r="L18">
        <v>7</v>
      </c>
      <c r="M18">
        <v>0</v>
      </c>
      <c r="N18">
        <v>0</v>
      </c>
      <c r="O18" s="8" t="s">
        <v>58</v>
      </c>
      <c r="P18" t="s">
        <v>100</v>
      </c>
    </row>
    <row r="19" spans="1:16" ht="15.6" x14ac:dyDescent="0.3">
      <c r="A19" s="9">
        <v>18</v>
      </c>
      <c r="B19" s="5" t="s">
        <v>23</v>
      </c>
      <c r="C19">
        <v>12</v>
      </c>
      <c r="D19">
        <v>9</v>
      </c>
      <c r="E19" s="4">
        <v>50</v>
      </c>
      <c r="F19">
        <v>57</v>
      </c>
      <c r="G19">
        <v>2</v>
      </c>
      <c r="H19">
        <f>ROUND((E19*100)/F19,4)</f>
        <v>87.719300000000004</v>
      </c>
      <c r="I19">
        <f>ROUND(E19/(D19-G19),4)</f>
        <v>7.1429</v>
      </c>
      <c r="J19">
        <f>ROUND(F19/(K19+L19),4)</f>
        <v>5.7</v>
      </c>
      <c r="K19">
        <v>2</v>
      </c>
      <c r="L19">
        <v>8</v>
      </c>
      <c r="M19">
        <v>0</v>
      </c>
      <c r="N19">
        <v>0</v>
      </c>
      <c r="O19" s="8" t="s">
        <v>44</v>
      </c>
    </row>
    <row r="20" spans="1:16" ht="15.6" x14ac:dyDescent="0.3">
      <c r="A20" s="7">
        <v>19</v>
      </c>
      <c r="B20" s="5" t="s">
        <v>21</v>
      </c>
      <c r="C20">
        <v>21</v>
      </c>
      <c r="D20">
        <v>10</v>
      </c>
      <c r="E20" s="4">
        <v>40</v>
      </c>
      <c r="F20">
        <v>45</v>
      </c>
      <c r="G20">
        <v>3</v>
      </c>
      <c r="H20">
        <f>ROUND((E20*100)/F20,4)</f>
        <v>88.888900000000007</v>
      </c>
      <c r="I20">
        <f>ROUND(E20/(D20-G20),4)</f>
        <v>5.7142999999999997</v>
      </c>
      <c r="J20">
        <f>ROUND(F20/(K20+L20),4)</f>
        <v>15</v>
      </c>
      <c r="K20">
        <v>0</v>
      </c>
      <c r="L20">
        <v>3</v>
      </c>
      <c r="M20">
        <v>0</v>
      </c>
      <c r="N20">
        <v>0</v>
      </c>
      <c r="O20" s="8" t="s">
        <v>55</v>
      </c>
      <c r="P20" t="s">
        <v>92</v>
      </c>
    </row>
    <row r="21" spans="1:16" ht="15.6" x14ac:dyDescent="0.3">
      <c r="A21" s="9">
        <v>20</v>
      </c>
      <c r="B21" s="5" t="s">
        <v>22</v>
      </c>
      <c r="C21">
        <v>16</v>
      </c>
      <c r="D21">
        <v>7</v>
      </c>
      <c r="E21" s="4">
        <v>30</v>
      </c>
      <c r="F21">
        <v>44</v>
      </c>
      <c r="G21">
        <v>1</v>
      </c>
      <c r="H21">
        <f>ROUND((E21*100)/F21,4)</f>
        <v>68.181799999999996</v>
      </c>
      <c r="I21">
        <f>ROUND(E21/(D21-G21),4)</f>
        <v>5</v>
      </c>
      <c r="J21">
        <f>ROUND(F21/(K21+L21),4)</f>
        <v>44</v>
      </c>
      <c r="K21">
        <v>0</v>
      </c>
      <c r="L21">
        <v>1</v>
      </c>
      <c r="M21">
        <v>0</v>
      </c>
      <c r="N21">
        <v>0</v>
      </c>
      <c r="O21" s="8" t="s">
        <v>56</v>
      </c>
    </row>
    <row r="22" spans="1:16" ht="15.6" x14ac:dyDescent="0.3">
      <c r="A22" s="7">
        <v>21</v>
      </c>
      <c r="B22" s="5" t="s">
        <v>47</v>
      </c>
      <c r="C22">
        <v>15</v>
      </c>
      <c r="D22">
        <v>9</v>
      </c>
      <c r="E22" s="4">
        <v>27</v>
      </c>
      <c r="F22">
        <v>44</v>
      </c>
      <c r="G22">
        <v>2</v>
      </c>
      <c r="H22">
        <f>ROUND((E22*100)/F22,4)</f>
        <v>61.363599999999998</v>
      </c>
      <c r="I22">
        <f>ROUND(E22/(D22-G22),4)</f>
        <v>3.8571</v>
      </c>
      <c r="J22">
        <f>ROUND(F22/(K22+L22),4)</f>
        <v>14.666700000000001</v>
      </c>
      <c r="K22">
        <v>0</v>
      </c>
      <c r="L22">
        <v>3</v>
      </c>
      <c r="M22">
        <v>0</v>
      </c>
      <c r="N22">
        <v>0</v>
      </c>
      <c r="O22" s="8" t="s">
        <v>84</v>
      </c>
    </row>
  </sheetData>
  <sortState xmlns:xlrd2="http://schemas.microsoft.com/office/spreadsheetml/2017/richdata2" ref="B1:N21">
    <sortCondition descending="1" ref="E1:E21"/>
  </sortState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616E-F3DB-4D8F-85B2-3BB9324C57EE}">
  <dimension ref="A1:M17"/>
  <sheetViews>
    <sheetView tabSelected="1" zoomScale="108" zoomScaleNormal="167" workbookViewId="0">
      <selection activeCell="C19" sqref="C19"/>
    </sheetView>
  </sheetViews>
  <sheetFormatPr defaultRowHeight="14.4" x14ac:dyDescent="0.3"/>
  <cols>
    <col min="1" max="1" width="4.77734375" customWidth="1"/>
    <col min="2" max="2" width="16.88671875" customWidth="1"/>
    <col min="3" max="3" width="11.88671875" customWidth="1"/>
    <col min="4" max="4" width="8.88671875" customWidth="1"/>
    <col min="5" max="5" width="11.5546875" customWidth="1"/>
    <col min="6" max="6" width="7.6640625" customWidth="1"/>
    <col min="7" max="7" width="12.33203125" customWidth="1"/>
    <col min="8" max="8" width="11.44140625" customWidth="1"/>
    <col min="9" max="9" width="14.6640625" customWidth="1"/>
    <col min="10" max="11" width="6.21875" customWidth="1"/>
    <col min="12" max="12" width="8.44140625" customWidth="1"/>
  </cols>
  <sheetData>
    <row r="1" spans="1:13" ht="17.399999999999999" x14ac:dyDescent="0.35">
      <c r="A1" s="6" t="s">
        <v>81</v>
      </c>
      <c r="B1" s="2" t="s">
        <v>25</v>
      </c>
      <c r="C1" s="2" t="s">
        <v>1</v>
      </c>
      <c r="D1" s="2" t="s">
        <v>26</v>
      </c>
      <c r="E1" s="3" t="s">
        <v>27</v>
      </c>
      <c r="F1" s="2" t="s">
        <v>3</v>
      </c>
      <c r="G1" s="2" t="s">
        <v>28</v>
      </c>
      <c r="H1" s="2" t="s">
        <v>5</v>
      </c>
      <c r="I1" s="2" t="s">
        <v>29</v>
      </c>
      <c r="J1" s="2" t="s">
        <v>30</v>
      </c>
      <c r="K1" s="2" t="s">
        <v>31</v>
      </c>
      <c r="L1" s="2" t="s">
        <v>33</v>
      </c>
      <c r="M1" s="2" t="s">
        <v>86</v>
      </c>
    </row>
    <row r="2" spans="1:13" ht="15.6" x14ac:dyDescent="0.3">
      <c r="A2" s="7">
        <v>1</v>
      </c>
      <c r="B2" s="5" t="s">
        <v>8</v>
      </c>
      <c r="C2">
        <v>124</v>
      </c>
      <c r="D2">
        <v>184.2</v>
      </c>
      <c r="E2" s="11">
        <v>128</v>
      </c>
      <c r="F2">
        <v>1830</v>
      </c>
      <c r="G2">
        <f t="shared" ref="G2:G17" si="0">ROUND(F2*6 / (INT(D2)*6 + MOD(D2,1)*10),4)</f>
        <v>9.9276999999999997</v>
      </c>
      <c r="H2">
        <f t="shared" ref="H2:H14" si="1">ROUND(F2/E2,4)</f>
        <v>14.296900000000001</v>
      </c>
      <c r="I2">
        <f t="shared" ref="I2:I15" si="2">ROUND(IF(E2=0,"-", (INT(D2)*6 + MOD(D2,1)*10) / E2),4)</f>
        <v>8.6405999999999992</v>
      </c>
      <c r="J2">
        <v>12</v>
      </c>
      <c r="K2">
        <v>2</v>
      </c>
      <c r="L2" t="s">
        <v>38</v>
      </c>
      <c r="M2" t="s">
        <v>108</v>
      </c>
    </row>
    <row r="3" spans="1:13" ht="15.6" x14ac:dyDescent="0.3">
      <c r="A3">
        <v>2</v>
      </c>
      <c r="B3" s="5" t="s">
        <v>12</v>
      </c>
      <c r="C3">
        <v>106</v>
      </c>
      <c r="D3">
        <v>179.4</v>
      </c>
      <c r="E3" s="4">
        <v>110</v>
      </c>
      <c r="F3">
        <v>1861</v>
      </c>
      <c r="G3">
        <f t="shared" si="0"/>
        <v>10.3581</v>
      </c>
      <c r="H3">
        <f t="shared" si="1"/>
        <v>16.918199999999999</v>
      </c>
      <c r="I3">
        <f t="shared" si="2"/>
        <v>9.8000000000000007</v>
      </c>
      <c r="J3">
        <v>12</v>
      </c>
      <c r="K3">
        <v>1</v>
      </c>
      <c r="L3" t="s">
        <v>87</v>
      </c>
      <c r="M3" t="s">
        <v>35</v>
      </c>
    </row>
    <row r="4" spans="1:13" ht="15.6" x14ac:dyDescent="0.3">
      <c r="A4" s="7">
        <v>3</v>
      </c>
      <c r="B4" s="5" t="s">
        <v>32</v>
      </c>
      <c r="C4">
        <v>85</v>
      </c>
      <c r="D4">
        <v>136.30000000000001</v>
      </c>
      <c r="E4" s="4">
        <v>95</v>
      </c>
      <c r="F4">
        <v>1403</v>
      </c>
      <c r="G4">
        <f t="shared" si="0"/>
        <v>10.2784</v>
      </c>
      <c r="H4">
        <f t="shared" si="1"/>
        <v>14.7684</v>
      </c>
      <c r="I4">
        <f t="shared" si="2"/>
        <v>8.6211000000000002</v>
      </c>
      <c r="J4">
        <v>7</v>
      </c>
      <c r="K4">
        <v>0</v>
      </c>
      <c r="L4" t="s">
        <v>59</v>
      </c>
      <c r="M4" t="s">
        <v>109</v>
      </c>
    </row>
    <row r="5" spans="1:13" ht="15.6" x14ac:dyDescent="0.3">
      <c r="A5">
        <v>4</v>
      </c>
      <c r="B5" s="5" t="s">
        <v>9</v>
      </c>
      <c r="C5">
        <v>105</v>
      </c>
      <c r="D5">
        <v>109.4</v>
      </c>
      <c r="E5" s="4">
        <v>79</v>
      </c>
      <c r="F5">
        <v>1182</v>
      </c>
      <c r="G5">
        <f t="shared" si="0"/>
        <v>10.7781</v>
      </c>
      <c r="H5">
        <f t="shared" si="1"/>
        <v>14.962</v>
      </c>
      <c r="I5">
        <f t="shared" si="2"/>
        <v>8.3291000000000004</v>
      </c>
      <c r="J5">
        <v>8</v>
      </c>
      <c r="K5">
        <v>1</v>
      </c>
      <c r="L5" t="s">
        <v>89</v>
      </c>
      <c r="M5" t="s">
        <v>121</v>
      </c>
    </row>
    <row r="6" spans="1:13" ht="15.6" x14ac:dyDescent="0.3">
      <c r="A6" s="7">
        <v>5</v>
      </c>
      <c r="B6" s="5" t="s">
        <v>14</v>
      </c>
      <c r="C6">
        <v>73</v>
      </c>
      <c r="D6">
        <v>117.5</v>
      </c>
      <c r="E6" s="4">
        <v>73</v>
      </c>
      <c r="F6">
        <v>1256</v>
      </c>
      <c r="G6">
        <f t="shared" si="0"/>
        <v>10.6591</v>
      </c>
      <c r="H6">
        <f t="shared" si="1"/>
        <v>17.205500000000001</v>
      </c>
      <c r="I6">
        <f t="shared" si="2"/>
        <v>9.6849000000000007</v>
      </c>
      <c r="J6">
        <v>10</v>
      </c>
      <c r="K6">
        <v>0</v>
      </c>
      <c r="L6" t="s">
        <v>54</v>
      </c>
      <c r="M6" t="s">
        <v>122</v>
      </c>
    </row>
    <row r="7" spans="1:13" ht="15.6" x14ac:dyDescent="0.3">
      <c r="A7">
        <v>6</v>
      </c>
      <c r="B7" s="5" t="s">
        <v>20</v>
      </c>
      <c r="C7">
        <v>61</v>
      </c>
      <c r="D7">
        <v>42.4</v>
      </c>
      <c r="E7" s="4">
        <v>35</v>
      </c>
      <c r="F7">
        <v>404</v>
      </c>
      <c r="G7">
        <f t="shared" si="0"/>
        <v>9.4687999999999999</v>
      </c>
      <c r="H7">
        <f t="shared" si="1"/>
        <v>11.542899999999999</v>
      </c>
      <c r="I7">
        <f t="shared" si="2"/>
        <v>7.3143000000000002</v>
      </c>
      <c r="J7">
        <v>3</v>
      </c>
      <c r="K7">
        <v>0</v>
      </c>
      <c r="L7" t="s">
        <v>39</v>
      </c>
      <c r="M7" t="s">
        <v>106</v>
      </c>
    </row>
    <row r="8" spans="1:13" ht="15.6" x14ac:dyDescent="0.3">
      <c r="A8" s="7">
        <v>7</v>
      </c>
      <c r="B8" s="5" t="s">
        <v>19</v>
      </c>
      <c r="C8">
        <v>74</v>
      </c>
      <c r="D8">
        <v>55.2</v>
      </c>
      <c r="E8" s="4">
        <v>32</v>
      </c>
      <c r="F8">
        <v>510</v>
      </c>
      <c r="G8">
        <f t="shared" si="0"/>
        <v>9.2169000000000008</v>
      </c>
      <c r="H8">
        <f t="shared" si="1"/>
        <v>15.9375</v>
      </c>
      <c r="I8">
        <f t="shared" si="2"/>
        <v>10.375</v>
      </c>
      <c r="J8">
        <v>2</v>
      </c>
      <c r="K8">
        <v>0</v>
      </c>
      <c r="L8" t="s">
        <v>49</v>
      </c>
      <c r="M8" t="s">
        <v>110</v>
      </c>
    </row>
    <row r="9" spans="1:13" ht="15.6" x14ac:dyDescent="0.3">
      <c r="A9">
        <v>8</v>
      </c>
      <c r="B9" s="5" t="s">
        <v>17</v>
      </c>
      <c r="C9">
        <v>41</v>
      </c>
      <c r="D9">
        <v>43</v>
      </c>
      <c r="E9" s="4">
        <v>30</v>
      </c>
      <c r="F9">
        <v>412</v>
      </c>
      <c r="G9">
        <f t="shared" si="0"/>
        <v>9.5814000000000004</v>
      </c>
      <c r="H9">
        <f t="shared" si="1"/>
        <v>13.7333</v>
      </c>
      <c r="I9">
        <f t="shared" si="2"/>
        <v>8.6</v>
      </c>
      <c r="J9">
        <v>3</v>
      </c>
      <c r="K9">
        <v>0</v>
      </c>
      <c r="L9" t="s">
        <v>37</v>
      </c>
      <c r="M9" t="s">
        <v>107</v>
      </c>
    </row>
    <row r="10" spans="1:13" ht="15.6" x14ac:dyDescent="0.3">
      <c r="A10" s="7">
        <v>9</v>
      </c>
      <c r="B10" s="5" t="s">
        <v>96</v>
      </c>
      <c r="C10">
        <v>44</v>
      </c>
      <c r="D10">
        <v>49</v>
      </c>
      <c r="E10" s="4">
        <v>30</v>
      </c>
      <c r="F10">
        <v>435</v>
      </c>
      <c r="G10">
        <f t="shared" si="0"/>
        <v>8.8775999999999993</v>
      </c>
      <c r="H10">
        <f t="shared" si="1"/>
        <v>14.5</v>
      </c>
      <c r="I10">
        <f t="shared" si="2"/>
        <v>9.8000000000000007</v>
      </c>
      <c r="J10">
        <v>2</v>
      </c>
      <c r="K10">
        <v>0</v>
      </c>
      <c r="L10" t="s">
        <v>60</v>
      </c>
      <c r="M10" t="s">
        <v>110</v>
      </c>
    </row>
    <row r="11" spans="1:13" ht="15.6" x14ac:dyDescent="0.3">
      <c r="A11">
        <v>10</v>
      </c>
      <c r="B11" s="5" t="s">
        <v>21</v>
      </c>
      <c r="C11">
        <v>21</v>
      </c>
      <c r="D11">
        <v>15.2</v>
      </c>
      <c r="E11" s="4">
        <v>13</v>
      </c>
      <c r="F11">
        <v>151</v>
      </c>
      <c r="G11">
        <f t="shared" si="0"/>
        <v>9.8477999999999994</v>
      </c>
      <c r="H11">
        <f t="shared" si="1"/>
        <v>11.615399999999999</v>
      </c>
      <c r="I11">
        <f t="shared" si="2"/>
        <v>7.0769000000000002</v>
      </c>
      <c r="J11">
        <v>0</v>
      </c>
      <c r="K11">
        <v>0</v>
      </c>
      <c r="L11" t="s">
        <v>36</v>
      </c>
    </row>
    <row r="12" spans="1:13" ht="15.6" x14ac:dyDescent="0.3">
      <c r="A12" s="7">
        <v>11</v>
      </c>
      <c r="B12" s="5" t="s">
        <v>11</v>
      </c>
      <c r="C12">
        <v>90</v>
      </c>
      <c r="D12">
        <v>6</v>
      </c>
      <c r="E12" s="4">
        <v>7</v>
      </c>
      <c r="F12">
        <v>53</v>
      </c>
      <c r="G12">
        <f t="shared" si="0"/>
        <v>8.8332999999999995</v>
      </c>
      <c r="H12">
        <f t="shared" si="1"/>
        <v>7.5713999999999997</v>
      </c>
      <c r="I12">
        <f t="shared" si="2"/>
        <v>5.1429</v>
      </c>
      <c r="J12">
        <v>2</v>
      </c>
      <c r="K12">
        <v>0</v>
      </c>
      <c r="L12" t="s">
        <v>95</v>
      </c>
      <c r="M12" t="s">
        <v>97</v>
      </c>
    </row>
    <row r="13" spans="1:13" ht="15.6" x14ac:dyDescent="0.3">
      <c r="A13" s="9">
        <v>12</v>
      </c>
      <c r="B13" s="5" t="s">
        <v>10</v>
      </c>
      <c r="C13">
        <v>53</v>
      </c>
      <c r="D13">
        <v>8</v>
      </c>
      <c r="E13" s="4">
        <v>5</v>
      </c>
      <c r="F13">
        <v>91</v>
      </c>
      <c r="G13">
        <f t="shared" si="0"/>
        <v>11.375</v>
      </c>
      <c r="H13">
        <f t="shared" si="1"/>
        <v>18.2</v>
      </c>
      <c r="I13">
        <f t="shared" si="2"/>
        <v>9.6</v>
      </c>
      <c r="J13">
        <v>0</v>
      </c>
      <c r="K13">
        <v>0</v>
      </c>
      <c r="L13" s="1" t="s">
        <v>94</v>
      </c>
      <c r="M13" t="s">
        <v>94</v>
      </c>
    </row>
    <row r="14" spans="1:13" ht="15.6" x14ac:dyDescent="0.3">
      <c r="A14" s="7">
        <v>13</v>
      </c>
      <c r="B14" s="5" t="s">
        <v>23</v>
      </c>
      <c r="C14">
        <v>12</v>
      </c>
      <c r="D14">
        <v>9</v>
      </c>
      <c r="E14" s="4">
        <v>3</v>
      </c>
      <c r="F14">
        <v>129</v>
      </c>
      <c r="G14">
        <f t="shared" si="0"/>
        <v>14.333299999999999</v>
      </c>
      <c r="H14">
        <f t="shared" si="1"/>
        <v>43</v>
      </c>
      <c r="I14">
        <f t="shared" si="2"/>
        <v>18</v>
      </c>
      <c r="J14">
        <v>0</v>
      </c>
      <c r="K14">
        <v>0</v>
      </c>
      <c r="L14" t="s">
        <v>34</v>
      </c>
    </row>
    <row r="15" spans="1:13" ht="15.6" x14ac:dyDescent="0.3">
      <c r="A15" s="9">
        <v>14</v>
      </c>
      <c r="B15" s="5" t="s">
        <v>102</v>
      </c>
      <c r="C15">
        <v>6</v>
      </c>
      <c r="D15">
        <v>1</v>
      </c>
      <c r="E15" s="4">
        <v>2</v>
      </c>
      <c r="F15">
        <v>6</v>
      </c>
      <c r="G15">
        <f t="shared" si="0"/>
        <v>6</v>
      </c>
      <c r="H15">
        <f>F15/E15</f>
        <v>3</v>
      </c>
      <c r="I15">
        <f t="shared" si="2"/>
        <v>3</v>
      </c>
      <c r="J15">
        <v>0</v>
      </c>
      <c r="K15">
        <v>0</v>
      </c>
      <c r="L15" t="s">
        <v>111</v>
      </c>
      <c r="M15" t="s">
        <v>111</v>
      </c>
    </row>
    <row r="16" spans="1:13" ht="15.6" x14ac:dyDescent="0.3">
      <c r="A16" s="7">
        <v>15</v>
      </c>
      <c r="B16" s="5" t="s">
        <v>13</v>
      </c>
      <c r="C16">
        <v>62</v>
      </c>
      <c r="D16">
        <v>3</v>
      </c>
      <c r="E16" s="4">
        <v>0</v>
      </c>
      <c r="F16">
        <v>40</v>
      </c>
      <c r="G16">
        <f t="shared" si="0"/>
        <v>13.333299999999999</v>
      </c>
      <c r="H16" t="s">
        <v>61</v>
      </c>
      <c r="I16" t="s">
        <v>61</v>
      </c>
      <c r="J16">
        <v>0</v>
      </c>
      <c r="K16">
        <v>0</v>
      </c>
      <c r="L16" t="s">
        <v>35</v>
      </c>
      <c r="M16" t="s">
        <v>107</v>
      </c>
    </row>
    <row r="17" spans="1:12" ht="15.6" x14ac:dyDescent="0.3">
      <c r="A17" s="9">
        <v>16</v>
      </c>
      <c r="B17" s="5" t="s">
        <v>22</v>
      </c>
      <c r="C17">
        <v>16</v>
      </c>
      <c r="D17">
        <v>0.4</v>
      </c>
      <c r="E17" s="4">
        <v>0</v>
      </c>
      <c r="F17">
        <v>14</v>
      </c>
      <c r="G17">
        <f t="shared" si="0"/>
        <v>21</v>
      </c>
      <c r="H17" t="s">
        <v>61</v>
      </c>
      <c r="I17" t="s">
        <v>61</v>
      </c>
      <c r="J17">
        <v>0</v>
      </c>
      <c r="K17">
        <v>0</v>
      </c>
      <c r="L17" t="s">
        <v>85</v>
      </c>
    </row>
  </sheetData>
  <sortState xmlns:xlrd2="http://schemas.microsoft.com/office/spreadsheetml/2017/richdata2" ref="B2:L13">
    <sortCondition descending="1" ref="E2:E1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B887-64F8-4337-9B52-E22F29787ECA}">
  <dimension ref="A1:O12"/>
  <sheetViews>
    <sheetView workbookViewId="0">
      <selection activeCell="I19" sqref="I19"/>
    </sheetView>
  </sheetViews>
  <sheetFormatPr defaultRowHeight="14.4" x14ac:dyDescent="0.3"/>
  <cols>
    <col min="1" max="1" width="11.44140625" bestFit="1" customWidth="1"/>
    <col min="2" max="2" width="5.21875" bestFit="1" customWidth="1"/>
    <col min="3" max="3" width="7.33203125" bestFit="1" customWidth="1"/>
    <col min="4" max="4" width="12.21875" bestFit="1" customWidth="1"/>
    <col min="11" max="11" width="12.21875" bestFit="1" customWidth="1"/>
  </cols>
  <sheetData>
    <row r="1" spans="1:15" x14ac:dyDescent="0.3">
      <c r="A1" t="s">
        <v>67</v>
      </c>
      <c r="B1" t="s">
        <v>66</v>
      </c>
      <c r="C1" t="s">
        <v>68</v>
      </c>
      <c r="D1" t="s">
        <v>69</v>
      </c>
      <c r="H1" t="s">
        <v>66</v>
      </c>
      <c r="K1" t="s">
        <v>69</v>
      </c>
      <c r="N1" t="s">
        <v>68</v>
      </c>
    </row>
    <row r="2" spans="1:15" x14ac:dyDescent="0.3">
      <c r="A2" t="s">
        <v>72</v>
      </c>
      <c r="B2">
        <f>B3+B4+B5</f>
        <v>10</v>
      </c>
      <c r="C2">
        <f t="shared" ref="C2:D2" si="0">C3+C4+C5</f>
        <v>1</v>
      </c>
      <c r="D2">
        <f t="shared" si="0"/>
        <v>2</v>
      </c>
      <c r="H2" t="s">
        <v>74</v>
      </c>
      <c r="I2" s="10">
        <v>46033</v>
      </c>
      <c r="K2" s="10" t="s">
        <v>76</v>
      </c>
      <c r="L2" s="10">
        <v>46143</v>
      </c>
      <c r="N2" t="s">
        <v>79</v>
      </c>
      <c r="O2" s="10">
        <v>46146</v>
      </c>
    </row>
    <row r="3" spans="1:15" x14ac:dyDescent="0.3">
      <c r="A3" t="s">
        <v>64</v>
      </c>
      <c r="B3">
        <v>5</v>
      </c>
      <c r="C3">
        <v>0</v>
      </c>
      <c r="D3">
        <v>1</v>
      </c>
      <c r="H3" t="s">
        <v>73</v>
      </c>
      <c r="I3" s="10">
        <v>46038</v>
      </c>
      <c r="K3" t="s">
        <v>75</v>
      </c>
      <c r="L3" s="10">
        <v>46147</v>
      </c>
    </row>
    <row r="4" spans="1:15" x14ac:dyDescent="0.3">
      <c r="A4" t="s">
        <v>65</v>
      </c>
      <c r="B4">
        <v>3</v>
      </c>
      <c r="C4">
        <v>1</v>
      </c>
      <c r="D4">
        <v>1</v>
      </c>
      <c r="H4" s="10" t="s">
        <v>75</v>
      </c>
      <c r="I4" s="10">
        <v>46042</v>
      </c>
    </row>
    <row r="5" spans="1:15" x14ac:dyDescent="0.3">
      <c r="A5" t="s">
        <v>70</v>
      </c>
      <c r="B5">
        <v>2</v>
      </c>
      <c r="C5">
        <v>0</v>
      </c>
      <c r="D5">
        <v>0</v>
      </c>
      <c r="H5" s="10" t="s">
        <v>76</v>
      </c>
      <c r="I5" s="10">
        <v>46071</v>
      </c>
    </row>
    <row r="6" spans="1:15" x14ac:dyDescent="0.3">
      <c r="H6" s="10" t="s">
        <v>77</v>
      </c>
      <c r="I6" s="10">
        <v>46076</v>
      </c>
    </row>
    <row r="7" spans="1:15" x14ac:dyDescent="0.3">
      <c r="A7" t="s">
        <v>71</v>
      </c>
      <c r="B7" t="s">
        <v>66</v>
      </c>
      <c r="C7" t="s">
        <v>68</v>
      </c>
      <c r="D7" t="s">
        <v>69</v>
      </c>
      <c r="H7" s="10" t="s">
        <v>77</v>
      </c>
      <c r="I7" s="10">
        <v>46080</v>
      </c>
    </row>
    <row r="8" spans="1:15" x14ac:dyDescent="0.3">
      <c r="A8" t="s">
        <v>72</v>
      </c>
      <c r="B8">
        <f>B9+B10+B11</f>
        <v>28</v>
      </c>
      <c r="C8">
        <f t="shared" ref="C8" si="1">C9+C10+C11</f>
        <v>2</v>
      </c>
      <c r="D8">
        <f t="shared" ref="D8" si="2">D9+D10+D11</f>
        <v>6</v>
      </c>
      <c r="H8" s="10" t="s">
        <v>75</v>
      </c>
      <c r="I8" s="10">
        <v>46093</v>
      </c>
    </row>
    <row r="9" spans="1:15" x14ac:dyDescent="0.3">
      <c r="A9" t="s">
        <v>64</v>
      </c>
      <c r="B9">
        <v>16</v>
      </c>
      <c r="C9">
        <v>0</v>
      </c>
      <c r="D9">
        <v>3</v>
      </c>
      <c r="H9" s="10" t="s">
        <v>78</v>
      </c>
      <c r="I9" s="10">
        <v>46118</v>
      </c>
    </row>
    <row r="10" spans="1:15" x14ac:dyDescent="0.3">
      <c r="A10" t="s">
        <v>65</v>
      </c>
      <c r="B10">
        <v>12</v>
      </c>
      <c r="C10">
        <v>2</v>
      </c>
      <c r="D10">
        <v>3</v>
      </c>
      <c r="H10" s="10" t="s">
        <v>78</v>
      </c>
      <c r="I10" s="10">
        <v>46129</v>
      </c>
    </row>
    <row r="11" spans="1:15" x14ac:dyDescent="0.3">
      <c r="A11" t="s">
        <v>70</v>
      </c>
      <c r="B11">
        <v>0</v>
      </c>
      <c r="C11">
        <v>0</v>
      </c>
      <c r="D11">
        <v>0</v>
      </c>
      <c r="H11" s="10" t="s">
        <v>76</v>
      </c>
      <c r="I11" s="10">
        <v>46187</v>
      </c>
    </row>
    <row r="12" spans="1:15" x14ac:dyDescent="0.3">
      <c r="H12" s="10" t="s">
        <v>77</v>
      </c>
      <c r="I1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Shetty</dc:creator>
  <cp:lastModifiedBy>Shashank Shetty</cp:lastModifiedBy>
  <dcterms:created xsi:type="dcterms:W3CDTF">2026-02-23T16:53:46Z</dcterms:created>
  <dcterms:modified xsi:type="dcterms:W3CDTF">2026-10-10T05:57:26Z</dcterms:modified>
</cp:coreProperties>
</file>